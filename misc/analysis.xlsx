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bramanya.Ganti\Downloads\Sports\basketball\bbgm\"/>
    </mc:Choice>
  </mc:AlternateContent>
  <xr:revisionPtr revIDLastSave="0" documentId="13_ncr:1_{5CB8F886-6387-474A-B991-910BDBB35C04}" xr6:coauthVersionLast="47" xr6:coauthVersionMax="47" xr10:uidLastSave="{00000000-0000-0000-0000-000000000000}"/>
  <bookViews>
    <workbookView xWindow="-120" yWindow="-120" windowWidth="29040" windowHeight="15720" xr2:uid="{59D16B0E-D9B7-433D-903A-AA29E1F3C281}"/>
  </bookViews>
  <sheets>
    <sheet name="predictions" sheetId="2" r:id="rId1"/>
    <sheet name="data" sheetId="3" r:id="rId2"/>
    <sheet name="Sheet1" sheetId="1" r:id="rId3"/>
  </sheets>
  <definedNames>
    <definedName name="_xlnm._FilterDatabase" localSheetId="0" hidden="1">predictions!$A$1:$AB$241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2" l="1"/>
  <c r="AB30" i="2" s="1"/>
  <c r="AA52" i="2"/>
  <c r="AA124" i="2" l="1"/>
  <c r="AB124" i="2" s="1"/>
  <c r="AA3" i="2"/>
  <c r="AB3" i="2" s="1"/>
  <c r="AA4" i="2"/>
  <c r="AB4" i="2" s="1"/>
  <c r="AA5" i="2"/>
  <c r="AB5" i="2" s="1"/>
  <c r="AA6" i="2"/>
  <c r="AB6" i="2" s="1"/>
  <c r="AA7" i="2"/>
  <c r="AB7" i="2" s="1"/>
  <c r="AA9" i="2"/>
  <c r="AB9" i="2" s="1"/>
  <c r="AA8" i="2"/>
  <c r="AB8" i="2" s="1"/>
  <c r="AA11" i="2"/>
  <c r="AB11" i="2" s="1"/>
  <c r="AA10" i="2"/>
  <c r="AB10" i="2" s="1"/>
  <c r="AA12" i="2"/>
  <c r="AB12" i="2" s="1"/>
  <c r="AA14" i="2"/>
  <c r="AB14" i="2" s="1"/>
  <c r="AA17" i="2"/>
  <c r="AB17" i="2" s="1"/>
  <c r="AA13" i="2"/>
  <c r="AB13" i="2" s="1"/>
  <c r="AA18" i="2"/>
  <c r="AB18" i="2" s="1"/>
  <c r="AA15" i="2"/>
  <c r="AB15" i="2" s="1"/>
  <c r="AA16" i="2"/>
  <c r="AB16" i="2" s="1"/>
  <c r="AA19" i="2"/>
  <c r="AB19" i="2" s="1"/>
  <c r="AA21" i="2"/>
  <c r="AB21" i="2" s="1"/>
  <c r="AA20" i="2"/>
  <c r="AB20" i="2" s="1"/>
  <c r="AA22" i="2"/>
  <c r="AB22" i="2" s="1"/>
  <c r="AA27" i="2"/>
  <c r="AB27" i="2" s="1"/>
  <c r="AA26" i="2"/>
  <c r="AB26" i="2" s="1"/>
  <c r="AA25" i="2"/>
  <c r="AB25" i="2" s="1"/>
  <c r="AA23" i="2"/>
  <c r="AB23" i="2" s="1"/>
  <c r="AA24" i="2"/>
  <c r="AB24" i="2" s="1"/>
  <c r="AA28" i="2"/>
  <c r="AB28" i="2" s="1"/>
  <c r="AA32" i="2"/>
  <c r="AB32" i="2" s="1"/>
  <c r="AA29" i="2"/>
  <c r="AB29" i="2" s="1"/>
  <c r="AA31" i="2"/>
  <c r="AB31" i="2" s="1"/>
  <c r="AA34" i="2"/>
  <c r="AB34" i="2" s="1"/>
  <c r="AA35" i="2"/>
  <c r="AB35" i="2" s="1"/>
  <c r="AA33" i="2"/>
  <c r="AB33" i="2" s="1"/>
  <c r="AA36" i="2"/>
  <c r="AB36" i="2" s="1"/>
  <c r="AA37" i="2"/>
  <c r="AB37" i="2" s="1"/>
  <c r="AA39" i="2"/>
  <c r="AB39" i="2" s="1"/>
  <c r="AA38" i="2"/>
  <c r="AB38" i="2" s="1"/>
  <c r="AA40" i="2"/>
  <c r="AB40" i="2" s="1"/>
  <c r="AA41" i="2"/>
  <c r="AB41" i="2" s="1"/>
  <c r="AA42" i="2"/>
  <c r="AB42" i="2" s="1"/>
  <c r="AA44" i="2"/>
  <c r="AB44" i="2" s="1"/>
  <c r="AA48" i="2"/>
  <c r="AB48" i="2" s="1"/>
  <c r="AA43" i="2"/>
  <c r="AB43" i="2" s="1"/>
  <c r="AA49" i="2"/>
  <c r="AB49" i="2" s="1"/>
  <c r="AB52" i="2"/>
  <c r="AA45" i="2"/>
  <c r="AB45" i="2" s="1"/>
  <c r="AA46" i="2"/>
  <c r="AB46" i="2" s="1"/>
  <c r="AA47" i="2"/>
  <c r="AB47" i="2" s="1"/>
  <c r="AA53" i="2"/>
  <c r="AB53" i="2" s="1"/>
  <c r="AA50" i="2"/>
  <c r="AB50" i="2" s="1"/>
  <c r="AA54" i="2"/>
  <c r="AB54" i="2" s="1"/>
  <c r="AA51" i="2"/>
  <c r="AB51" i="2" s="1"/>
  <c r="AA69" i="2"/>
  <c r="AB69" i="2" s="1"/>
  <c r="AA62" i="2"/>
  <c r="AB62" i="2" s="1"/>
  <c r="AA55" i="2"/>
  <c r="AB55" i="2" s="1"/>
  <c r="AA58" i="2"/>
  <c r="AB58" i="2" s="1"/>
  <c r="AA56" i="2"/>
  <c r="AB56" i="2" s="1"/>
  <c r="AA61" i="2"/>
  <c r="AB61" i="2" s="1"/>
  <c r="AA57" i="2"/>
  <c r="AB57" i="2" s="1"/>
  <c r="AA59" i="2"/>
  <c r="AB59" i="2" s="1"/>
  <c r="AA66" i="2"/>
  <c r="AB66" i="2" s="1"/>
  <c r="AA72" i="2"/>
  <c r="AB72" i="2" s="1"/>
  <c r="AA60" i="2"/>
  <c r="AB60" i="2" s="1"/>
  <c r="AA70" i="2"/>
  <c r="AB70" i="2" s="1"/>
  <c r="AA74" i="2"/>
  <c r="AB74" i="2" s="1"/>
  <c r="AA64" i="2"/>
  <c r="AB64" i="2" s="1"/>
  <c r="AA63" i="2"/>
  <c r="AB63" i="2" s="1"/>
  <c r="AA79" i="2"/>
  <c r="AB79" i="2" s="1"/>
  <c r="AA65" i="2"/>
  <c r="AB65" i="2" s="1"/>
  <c r="AA67" i="2"/>
  <c r="AB67" i="2" s="1"/>
  <c r="AA68" i="2"/>
  <c r="AB68" i="2" s="1"/>
  <c r="AA73" i="2"/>
  <c r="AB73" i="2" s="1"/>
  <c r="AA71" i="2"/>
  <c r="AB71" i="2" s="1"/>
  <c r="AA78" i="2"/>
  <c r="AB78" i="2" s="1"/>
  <c r="AA77" i="2"/>
  <c r="AB77" i="2" s="1"/>
  <c r="AA76" i="2"/>
  <c r="AB76" i="2" s="1"/>
  <c r="AA80" i="2"/>
  <c r="AB80" i="2" s="1"/>
  <c r="AA82" i="2"/>
  <c r="AB82" i="2" s="1"/>
  <c r="AA75" i="2"/>
  <c r="AB75" i="2" s="1"/>
  <c r="AA83" i="2"/>
  <c r="AB83" i="2" s="1"/>
  <c r="AA81" i="2"/>
  <c r="AB81" i="2" s="1"/>
  <c r="AA86" i="2"/>
  <c r="AB86" i="2" s="1"/>
  <c r="AA84" i="2"/>
  <c r="AB84" i="2" s="1"/>
  <c r="AA85" i="2"/>
  <c r="AB85" i="2" s="1"/>
  <c r="AA88" i="2"/>
  <c r="AB88" i="2" s="1"/>
  <c r="AA87" i="2"/>
  <c r="AB87" i="2" s="1"/>
  <c r="AA91" i="2"/>
  <c r="AB91" i="2" s="1"/>
  <c r="AA92" i="2"/>
  <c r="AB92" i="2" s="1"/>
  <c r="AA93" i="2"/>
  <c r="AB93" i="2" s="1"/>
  <c r="AA89" i="2"/>
  <c r="AB89" i="2" s="1"/>
  <c r="AA90" i="2"/>
  <c r="AB90" i="2" s="1"/>
  <c r="AA99" i="2"/>
  <c r="AB99" i="2" s="1"/>
  <c r="AA94" i="2"/>
  <c r="AB94" i="2" s="1"/>
  <c r="AA100" i="2"/>
  <c r="AB100" i="2" s="1"/>
  <c r="AA95" i="2"/>
  <c r="AB95" i="2" s="1"/>
  <c r="AA98" i="2"/>
  <c r="AB98" i="2" s="1"/>
  <c r="AA97" i="2"/>
  <c r="AB97" i="2" s="1"/>
  <c r="AA101" i="2"/>
  <c r="AB101" i="2" s="1"/>
  <c r="AA104" i="2"/>
  <c r="AB104" i="2" s="1"/>
  <c r="AA107" i="2"/>
  <c r="AB107" i="2" s="1"/>
  <c r="AA96" i="2"/>
  <c r="AB96" i="2" s="1"/>
  <c r="AA102" i="2"/>
  <c r="AB102" i="2" s="1"/>
  <c r="AA105" i="2"/>
  <c r="AB105" i="2" s="1"/>
  <c r="AA106" i="2"/>
  <c r="AB106" i="2" s="1"/>
  <c r="AA111" i="2"/>
  <c r="AB111" i="2" s="1"/>
  <c r="AA114" i="2"/>
  <c r="AB114" i="2" s="1"/>
  <c r="AA113" i="2"/>
  <c r="AB113" i="2" s="1"/>
  <c r="AA108" i="2"/>
  <c r="AB108" i="2" s="1"/>
  <c r="AA103" i="2"/>
  <c r="AB103" i="2" s="1"/>
  <c r="AA115" i="2"/>
  <c r="AB115" i="2" s="1"/>
  <c r="AA112" i="2"/>
  <c r="AB112" i="2" s="1"/>
  <c r="AA120" i="2"/>
  <c r="AB120" i="2" s="1"/>
  <c r="AA117" i="2"/>
  <c r="AB117" i="2" s="1"/>
  <c r="AA110" i="2"/>
  <c r="AB110" i="2" s="1"/>
  <c r="AA109" i="2"/>
  <c r="AB109" i="2" s="1"/>
  <c r="AA116" i="2"/>
  <c r="AB116" i="2" s="1"/>
  <c r="AA119" i="2"/>
  <c r="AB119" i="2" s="1"/>
  <c r="AA118" i="2"/>
  <c r="AB118" i="2" s="1"/>
  <c r="AA121" i="2"/>
  <c r="AB121" i="2" s="1"/>
  <c r="AA127" i="2"/>
  <c r="AB127" i="2" s="1"/>
  <c r="AA129" i="2"/>
  <c r="AB129" i="2" s="1"/>
  <c r="AA123" i="2"/>
  <c r="AB123" i="2" s="1"/>
  <c r="AA130" i="2"/>
  <c r="AB130" i="2" s="1"/>
  <c r="AA122" i="2"/>
  <c r="AB122" i="2" s="1"/>
  <c r="AA128" i="2"/>
  <c r="AB128" i="2" s="1"/>
  <c r="AA125" i="2"/>
  <c r="AB125" i="2" s="1"/>
  <c r="AA134" i="2"/>
  <c r="AB134" i="2" s="1"/>
  <c r="AA136" i="2"/>
  <c r="AB136" i="2" s="1"/>
  <c r="AA126" i="2"/>
  <c r="AB126" i="2" s="1"/>
  <c r="AA131" i="2"/>
  <c r="AB131" i="2" s="1"/>
  <c r="AA135" i="2"/>
  <c r="AB135" i="2" s="1"/>
  <c r="AA137" i="2"/>
  <c r="AB137" i="2" s="1"/>
  <c r="AA139" i="2"/>
  <c r="AB139" i="2" s="1"/>
  <c r="AA142" i="2"/>
  <c r="AB142" i="2" s="1"/>
  <c r="AA133" i="2"/>
  <c r="AB133" i="2" s="1"/>
  <c r="AA132" i="2"/>
  <c r="AB132" i="2" s="1"/>
  <c r="AA140" i="2"/>
  <c r="AB140" i="2" s="1"/>
  <c r="AA141" i="2"/>
  <c r="AB141" i="2" s="1"/>
  <c r="AA147" i="2"/>
  <c r="AB147" i="2" s="1"/>
  <c r="AA146" i="2"/>
  <c r="AB146" i="2" s="1"/>
  <c r="AA138" i="2"/>
  <c r="AB138" i="2" s="1"/>
  <c r="AA144" i="2"/>
  <c r="AB144" i="2" s="1"/>
  <c r="AA145" i="2"/>
  <c r="AB145" i="2" s="1"/>
  <c r="AA150" i="2"/>
  <c r="AB150" i="2" s="1"/>
  <c r="AA143" i="2"/>
  <c r="AB143" i="2" s="1"/>
  <c r="AA152" i="2"/>
  <c r="AB152" i="2" s="1"/>
  <c r="AA148" i="2"/>
  <c r="AB148" i="2" s="1"/>
  <c r="AA149" i="2"/>
  <c r="AB149" i="2" s="1"/>
  <c r="AA154" i="2"/>
  <c r="AB154" i="2" s="1"/>
  <c r="AA153" i="2"/>
  <c r="AB153" i="2" s="1"/>
  <c r="AA155" i="2"/>
  <c r="AB155" i="2" s="1"/>
  <c r="AA158" i="2"/>
  <c r="AB158" i="2" s="1"/>
  <c r="AA161" i="2"/>
  <c r="AB161" i="2" s="1"/>
  <c r="AA157" i="2"/>
  <c r="AB157" i="2" s="1"/>
  <c r="AA156" i="2"/>
  <c r="AB156" i="2" s="1"/>
  <c r="AA159" i="2"/>
  <c r="AB159" i="2" s="1"/>
  <c r="AA151" i="2"/>
  <c r="AB151" i="2" s="1"/>
  <c r="AA163" i="2"/>
  <c r="AB163" i="2" s="1"/>
  <c r="AA169" i="2"/>
  <c r="AB169" i="2" s="1"/>
  <c r="AA167" i="2"/>
  <c r="AB167" i="2" s="1"/>
  <c r="AA164" i="2"/>
  <c r="AB164" i="2" s="1"/>
  <c r="AA162" i="2"/>
  <c r="AB162" i="2" s="1"/>
  <c r="AA160" i="2"/>
  <c r="AB160" i="2" s="1"/>
  <c r="AA168" i="2"/>
  <c r="AB168" i="2" s="1"/>
  <c r="AA172" i="2"/>
  <c r="AB172" i="2" s="1"/>
  <c r="AA165" i="2"/>
  <c r="AB165" i="2" s="1"/>
  <c r="AA166" i="2"/>
  <c r="AB166" i="2" s="1"/>
  <c r="AA171" i="2"/>
  <c r="AB171" i="2" s="1"/>
  <c r="AA170" i="2"/>
  <c r="AB170" i="2" s="1"/>
  <c r="AA175" i="2"/>
  <c r="AB175" i="2" s="1"/>
  <c r="AA174" i="2"/>
  <c r="AB174" i="2" s="1"/>
  <c r="AA177" i="2"/>
  <c r="AB177" i="2" s="1"/>
  <c r="AA176" i="2"/>
  <c r="AB176" i="2" s="1"/>
  <c r="AA173" i="2"/>
  <c r="AB173" i="2" s="1"/>
  <c r="AA178" i="2"/>
  <c r="AB178" i="2" s="1"/>
  <c r="AA180" i="2"/>
  <c r="AB180" i="2" s="1"/>
  <c r="AA179" i="2"/>
  <c r="AB179" i="2" s="1"/>
  <c r="AA182" i="2"/>
  <c r="AB182" i="2" s="1"/>
  <c r="AA181" i="2"/>
  <c r="AB181" i="2" s="1"/>
  <c r="AA191" i="2"/>
  <c r="AB191" i="2" s="1"/>
  <c r="AA183" i="2"/>
  <c r="AB183" i="2" s="1"/>
  <c r="AA195" i="2"/>
  <c r="AB195" i="2" s="1"/>
  <c r="AA187" i="2"/>
  <c r="AB187" i="2" s="1"/>
  <c r="AA185" i="2"/>
  <c r="AB185" i="2" s="1"/>
  <c r="AA190" i="2"/>
  <c r="AB190" i="2" s="1"/>
  <c r="AA184" i="2"/>
  <c r="AB184" i="2" s="1"/>
  <c r="AA189" i="2"/>
  <c r="AB189" i="2" s="1"/>
  <c r="AA186" i="2"/>
  <c r="AB186" i="2" s="1"/>
  <c r="AA188" i="2"/>
  <c r="AB188" i="2" s="1"/>
  <c r="AA192" i="2"/>
  <c r="AB192" i="2" s="1"/>
  <c r="AA193" i="2"/>
  <c r="AB193" i="2" s="1"/>
  <c r="AA194" i="2"/>
  <c r="AB194" i="2" s="1"/>
  <c r="AA200" i="2"/>
  <c r="AB200" i="2" s="1"/>
  <c r="AA197" i="2"/>
  <c r="AB197" i="2" s="1"/>
  <c r="AA196" i="2"/>
  <c r="AB196" i="2" s="1"/>
  <c r="AA198" i="2"/>
  <c r="AB198" i="2" s="1"/>
  <c r="AA201" i="2"/>
  <c r="AB201" i="2" s="1"/>
  <c r="AA203" i="2"/>
  <c r="AB203" i="2" s="1"/>
  <c r="AA204" i="2"/>
  <c r="AB204" i="2" s="1"/>
  <c r="AA202" i="2"/>
  <c r="AB202" i="2" s="1"/>
  <c r="AA207" i="2"/>
  <c r="AB207" i="2" s="1"/>
  <c r="AA199" i="2"/>
  <c r="AB199" i="2" s="1"/>
  <c r="AA206" i="2"/>
  <c r="AB206" i="2" s="1"/>
  <c r="AA208" i="2"/>
  <c r="AB208" i="2" s="1"/>
  <c r="AA211" i="2"/>
  <c r="AB211" i="2" s="1"/>
  <c r="AA212" i="2"/>
  <c r="AB212" i="2" s="1"/>
  <c r="AA205" i="2"/>
  <c r="AB205" i="2" s="1"/>
  <c r="AA209" i="2"/>
  <c r="AB209" i="2" s="1"/>
  <c r="AA213" i="2"/>
  <c r="AB213" i="2" s="1"/>
  <c r="AA218" i="2"/>
  <c r="AB218" i="2" s="1"/>
  <c r="AA210" i="2"/>
  <c r="AB210" i="2" s="1"/>
  <c r="AA215" i="2"/>
  <c r="AB215" i="2" s="1"/>
  <c r="AA214" i="2"/>
  <c r="AB214" i="2" s="1"/>
  <c r="AA216" i="2"/>
  <c r="AB216" i="2" s="1"/>
  <c r="AA217" i="2"/>
  <c r="AB217" i="2" s="1"/>
  <c r="AA222" i="2"/>
  <c r="AB222" i="2" s="1"/>
  <c r="AA219" i="2"/>
  <c r="AB219" i="2" s="1"/>
  <c r="AA221" i="2"/>
  <c r="AB221" i="2" s="1"/>
  <c r="AA227" i="2"/>
  <c r="AB227" i="2" s="1"/>
  <c r="AA220" i="2"/>
  <c r="AB220" i="2" s="1"/>
  <c r="AA224" i="2"/>
  <c r="AB224" i="2" s="1"/>
  <c r="AA225" i="2"/>
  <c r="AB225" i="2" s="1"/>
  <c r="AA226" i="2"/>
  <c r="AB226" i="2" s="1"/>
  <c r="AA223" i="2"/>
  <c r="AB223" i="2" s="1"/>
  <c r="AA229" i="2"/>
  <c r="AB229" i="2" s="1"/>
  <c r="AA231" i="2"/>
  <c r="AB231" i="2" s="1"/>
  <c r="AA233" i="2"/>
  <c r="AB233" i="2" s="1"/>
  <c r="AA232" i="2"/>
  <c r="AB232" i="2" s="1"/>
  <c r="AA230" i="2"/>
  <c r="AB230" i="2" s="1"/>
  <c r="AA228" i="2"/>
  <c r="AB228" i="2" s="1"/>
  <c r="AA234" i="2"/>
  <c r="AB234" i="2" s="1"/>
  <c r="AA236" i="2"/>
  <c r="AB236" i="2" s="1"/>
  <c r="AA237" i="2"/>
  <c r="AB237" i="2" s="1"/>
  <c r="AA239" i="2"/>
  <c r="AB239" i="2" s="1"/>
  <c r="AA238" i="2"/>
  <c r="AB238" i="2" s="1"/>
  <c r="AA241" i="2"/>
  <c r="AB241" i="2" s="1"/>
  <c r="AA235" i="2"/>
  <c r="AB235" i="2" s="1"/>
  <c r="AA240" i="2"/>
  <c r="AB240" i="2" s="1"/>
  <c r="AA2" i="2"/>
  <c r="AB2" i="2" s="1"/>
  <c r="F332" i="3"/>
  <c r="E332" i="3"/>
  <c r="F331" i="3"/>
  <c r="E331" i="3"/>
  <c r="F330" i="3"/>
  <c r="E330" i="3"/>
  <c r="F329" i="3"/>
  <c r="E329" i="3"/>
  <c r="F328" i="3"/>
  <c r="E328" i="3"/>
  <c r="F327" i="3"/>
  <c r="E327" i="3"/>
  <c r="F326" i="3"/>
  <c r="E326" i="3"/>
  <c r="F325" i="3"/>
  <c r="E325" i="3"/>
  <c r="F324" i="3"/>
  <c r="E324" i="3"/>
  <c r="F323" i="3"/>
  <c r="E323" i="3"/>
  <c r="F322" i="3"/>
  <c r="E322" i="3"/>
  <c r="F321" i="3"/>
  <c r="E321" i="3"/>
  <c r="F320" i="3"/>
  <c r="E320" i="3"/>
  <c r="F319" i="3"/>
  <c r="E319" i="3"/>
  <c r="F318" i="3"/>
  <c r="E318" i="3"/>
  <c r="F317" i="3"/>
  <c r="E317" i="3"/>
  <c r="F316" i="3"/>
  <c r="E316" i="3"/>
  <c r="F315" i="3"/>
  <c r="E315" i="3"/>
  <c r="F314" i="3"/>
  <c r="E314" i="3"/>
  <c r="F313" i="3"/>
  <c r="E313" i="3"/>
  <c r="F312" i="3"/>
  <c r="E312" i="3"/>
  <c r="F311" i="3"/>
  <c r="E311" i="3"/>
  <c r="F310" i="3"/>
  <c r="E310" i="3"/>
  <c r="F309" i="3"/>
  <c r="E309" i="3"/>
  <c r="F308" i="3"/>
  <c r="E308" i="3"/>
  <c r="F307" i="3"/>
  <c r="E307" i="3"/>
  <c r="F306" i="3"/>
  <c r="E306" i="3"/>
  <c r="F305" i="3"/>
  <c r="E305" i="3"/>
  <c r="F304" i="3"/>
  <c r="E304" i="3"/>
  <c r="F303" i="3"/>
  <c r="E303" i="3"/>
  <c r="F302" i="3"/>
  <c r="E302" i="3"/>
  <c r="F301" i="3"/>
  <c r="E301" i="3"/>
  <c r="F300" i="3"/>
  <c r="E300" i="3"/>
  <c r="F299" i="3"/>
  <c r="E299" i="3"/>
  <c r="F298" i="3"/>
  <c r="E298" i="3"/>
  <c r="F297" i="3"/>
  <c r="E297" i="3"/>
  <c r="F296" i="3"/>
  <c r="E296" i="3"/>
  <c r="F295" i="3"/>
  <c r="E295" i="3"/>
  <c r="F294" i="3"/>
  <c r="E294" i="3"/>
  <c r="F293" i="3"/>
  <c r="E293" i="3"/>
  <c r="F292" i="3"/>
  <c r="E292" i="3"/>
  <c r="F291" i="3"/>
  <c r="E291" i="3"/>
  <c r="F290" i="3"/>
  <c r="E290" i="3"/>
  <c r="F289" i="3"/>
  <c r="E289" i="3"/>
  <c r="F288" i="3"/>
  <c r="E288" i="3"/>
  <c r="F287" i="3"/>
  <c r="E287" i="3"/>
  <c r="F286" i="3"/>
  <c r="E286" i="3"/>
  <c r="F285" i="3"/>
  <c r="E285" i="3"/>
  <c r="F284" i="3"/>
  <c r="E284" i="3"/>
  <c r="F283" i="3"/>
  <c r="E283" i="3"/>
  <c r="F282" i="3"/>
  <c r="E282" i="3"/>
  <c r="F281" i="3"/>
  <c r="E281" i="3"/>
  <c r="F280" i="3"/>
  <c r="E280" i="3"/>
  <c r="F279" i="3"/>
  <c r="E279" i="3"/>
  <c r="F278" i="3"/>
  <c r="E278" i="3"/>
  <c r="F277" i="3"/>
  <c r="E277" i="3"/>
  <c r="F276" i="3"/>
  <c r="E276" i="3"/>
  <c r="F275" i="3"/>
  <c r="E275" i="3"/>
  <c r="F274" i="3"/>
  <c r="E274" i="3"/>
  <c r="F273" i="3"/>
  <c r="E273" i="3"/>
  <c r="F272" i="3"/>
  <c r="E272" i="3"/>
  <c r="F271" i="3"/>
  <c r="E271" i="3"/>
  <c r="F270" i="3"/>
  <c r="E270" i="3"/>
  <c r="F269" i="3"/>
  <c r="E269" i="3"/>
  <c r="F268" i="3"/>
  <c r="E268" i="3"/>
  <c r="F267" i="3"/>
  <c r="E267" i="3"/>
  <c r="F266" i="3"/>
  <c r="E266" i="3"/>
  <c r="F265" i="3"/>
  <c r="E265" i="3"/>
  <c r="F264" i="3"/>
  <c r="E264" i="3"/>
  <c r="F263" i="3"/>
  <c r="E263" i="3"/>
  <c r="F262" i="3"/>
  <c r="E262" i="3"/>
  <c r="F261" i="3"/>
  <c r="E261" i="3"/>
  <c r="F260" i="3"/>
  <c r="E260" i="3"/>
  <c r="F259" i="3"/>
  <c r="E259" i="3"/>
  <c r="F258" i="3"/>
  <c r="E258" i="3"/>
  <c r="F257" i="3"/>
  <c r="E257" i="3"/>
  <c r="F256" i="3"/>
  <c r="E256" i="3"/>
  <c r="F255" i="3"/>
  <c r="E255" i="3"/>
  <c r="F254" i="3"/>
  <c r="E254" i="3"/>
  <c r="F253" i="3"/>
  <c r="E253" i="3"/>
  <c r="F252" i="3"/>
  <c r="E252" i="3"/>
  <c r="F251" i="3"/>
  <c r="E251" i="3"/>
  <c r="F250" i="3"/>
  <c r="E250" i="3"/>
  <c r="F249" i="3"/>
  <c r="E249" i="3"/>
  <c r="F248" i="3"/>
  <c r="E248" i="3"/>
  <c r="F247" i="3"/>
  <c r="E247" i="3"/>
  <c r="F246" i="3"/>
  <c r="E246" i="3"/>
  <c r="F245" i="3"/>
  <c r="E245" i="3"/>
  <c r="F244" i="3"/>
  <c r="E244" i="3"/>
  <c r="F243" i="3"/>
  <c r="E243" i="3"/>
  <c r="F242" i="3"/>
  <c r="E242" i="3"/>
  <c r="F241" i="3"/>
  <c r="E241" i="3"/>
  <c r="F240" i="3"/>
  <c r="E240" i="3"/>
  <c r="F239" i="3"/>
  <c r="E239" i="3"/>
  <c r="F238" i="3"/>
  <c r="E238" i="3"/>
  <c r="F237" i="3"/>
  <c r="E237" i="3"/>
  <c r="F236" i="3"/>
  <c r="E236" i="3"/>
  <c r="F235" i="3"/>
  <c r="E235" i="3"/>
  <c r="F234" i="3"/>
  <c r="E234" i="3"/>
  <c r="F233" i="3"/>
  <c r="E233" i="3"/>
  <c r="F232" i="3"/>
  <c r="E232" i="3"/>
  <c r="F231" i="3"/>
  <c r="E231" i="3"/>
  <c r="F230" i="3"/>
  <c r="E230" i="3"/>
  <c r="F229" i="3"/>
  <c r="E229" i="3"/>
  <c r="F228" i="3"/>
  <c r="E228" i="3"/>
  <c r="F227" i="3"/>
  <c r="E227" i="3"/>
  <c r="F226" i="3"/>
  <c r="E226" i="3"/>
  <c r="F225" i="3"/>
  <c r="E225" i="3"/>
  <c r="F224" i="3"/>
  <c r="E224" i="3"/>
  <c r="F223" i="3"/>
  <c r="E223" i="3"/>
  <c r="F222" i="3"/>
  <c r="E222" i="3"/>
  <c r="F221" i="3"/>
  <c r="E221" i="3"/>
  <c r="F220" i="3"/>
  <c r="E220" i="3"/>
  <c r="F219" i="3"/>
  <c r="E219" i="3"/>
  <c r="F218" i="3"/>
  <c r="E218" i="3"/>
  <c r="F217" i="3"/>
  <c r="E217" i="3"/>
  <c r="F216" i="3"/>
  <c r="E216" i="3"/>
  <c r="F215" i="3"/>
  <c r="E215" i="3"/>
  <c r="F214" i="3"/>
  <c r="E214" i="3"/>
  <c r="F213" i="3"/>
  <c r="E213" i="3"/>
  <c r="F212" i="3"/>
  <c r="E212" i="3"/>
  <c r="F211" i="3"/>
  <c r="E211" i="3"/>
  <c r="F210" i="3"/>
  <c r="E210" i="3"/>
  <c r="F209" i="3"/>
  <c r="E209" i="3"/>
  <c r="F208" i="3"/>
  <c r="E208" i="3"/>
  <c r="F207" i="3"/>
  <c r="E207" i="3"/>
  <c r="F206" i="3"/>
  <c r="E206" i="3"/>
  <c r="F205" i="3"/>
  <c r="E205" i="3"/>
  <c r="F204" i="3"/>
  <c r="E204" i="3"/>
  <c r="F203" i="3"/>
  <c r="E203" i="3"/>
  <c r="F202" i="3"/>
  <c r="E202" i="3"/>
  <c r="F201" i="3"/>
  <c r="E201" i="3"/>
  <c r="F200" i="3"/>
  <c r="E200" i="3"/>
  <c r="F199" i="3"/>
  <c r="E199" i="3"/>
  <c r="F198" i="3"/>
  <c r="E198" i="3"/>
  <c r="F197" i="3"/>
  <c r="E197" i="3"/>
  <c r="F196" i="3"/>
  <c r="E196" i="3"/>
  <c r="F195" i="3"/>
  <c r="E195" i="3"/>
  <c r="F194" i="3"/>
  <c r="E194" i="3"/>
  <c r="F193" i="3"/>
  <c r="E193" i="3"/>
  <c r="F192" i="3"/>
  <c r="E192" i="3"/>
  <c r="F191" i="3"/>
  <c r="E191" i="3"/>
  <c r="F190" i="3"/>
  <c r="E190" i="3"/>
  <c r="F189" i="3"/>
  <c r="E189" i="3"/>
  <c r="F188" i="3"/>
  <c r="E188" i="3"/>
  <c r="F187" i="3"/>
  <c r="E187" i="3"/>
  <c r="F186" i="3"/>
  <c r="E186" i="3"/>
  <c r="F185" i="3"/>
  <c r="E185" i="3"/>
  <c r="F184" i="3"/>
  <c r="E184" i="3"/>
  <c r="F183" i="3"/>
  <c r="E183" i="3"/>
  <c r="F182" i="3"/>
  <c r="E182" i="3"/>
  <c r="F181" i="3"/>
  <c r="E181" i="3"/>
  <c r="F180" i="3"/>
  <c r="E180" i="3"/>
  <c r="F179" i="3"/>
  <c r="E179" i="3"/>
  <c r="F178" i="3"/>
  <c r="E178" i="3"/>
  <c r="F177" i="3"/>
  <c r="E177" i="3"/>
  <c r="F176" i="3"/>
  <c r="E176" i="3"/>
  <c r="F175" i="3"/>
  <c r="E175" i="3"/>
  <c r="F174" i="3"/>
  <c r="E174" i="3"/>
  <c r="F173" i="3"/>
  <c r="E173" i="3"/>
  <c r="F172" i="3"/>
  <c r="E172" i="3"/>
  <c r="F171" i="3"/>
  <c r="E171" i="3"/>
  <c r="F170" i="3"/>
  <c r="E170" i="3"/>
  <c r="F169" i="3"/>
  <c r="E169" i="3"/>
  <c r="F168" i="3"/>
  <c r="E168" i="3"/>
  <c r="F167" i="3"/>
  <c r="E167" i="3"/>
  <c r="F166" i="3"/>
  <c r="E166" i="3"/>
  <c r="F165" i="3"/>
  <c r="E165" i="3"/>
  <c r="F164" i="3"/>
  <c r="E164" i="3"/>
  <c r="F163" i="3"/>
  <c r="E163" i="3"/>
  <c r="F162" i="3"/>
  <c r="E162" i="3"/>
  <c r="F161" i="3"/>
  <c r="E161" i="3"/>
  <c r="F160" i="3"/>
  <c r="E160" i="3"/>
  <c r="F159" i="3"/>
  <c r="E159" i="3"/>
  <c r="F158" i="3"/>
  <c r="E158" i="3"/>
  <c r="F157" i="3"/>
  <c r="E157" i="3"/>
  <c r="F156" i="3"/>
  <c r="E156" i="3"/>
  <c r="F155" i="3"/>
  <c r="E155" i="3"/>
  <c r="F154" i="3"/>
  <c r="E154" i="3"/>
  <c r="F153" i="3"/>
  <c r="E153" i="3"/>
  <c r="F152" i="3"/>
  <c r="E152" i="3"/>
  <c r="F151" i="3"/>
  <c r="E151" i="3"/>
  <c r="F150" i="3"/>
  <c r="E150" i="3"/>
  <c r="F149" i="3"/>
  <c r="E149" i="3"/>
  <c r="F148" i="3"/>
  <c r="E148" i="3"/>
  <c r="F147" i="3"/>
  <c r="E147" i="3"/>
  <c r="F146" i="3"/>
  <c r="E146" i="3"/>
  <c r="F145" i="3"/>
  <c r="E145" i="3"/>
  <c r="F144" i="3"/>
  <c r="E144" i="3"/>
  <c r="F143" i="3"/>
  <c r="E143" i="3"/>
  <c r="F142" i="3"/>
  <c r="E142" i="3"/>
  <c r="F141" i="3"/>
  <c r="E141" i="3"/>
  <c r="F140" i="3"/>
  <c r="E140" i="3"/>
  <c r="F139" i="3"/>
  <c r="E139" i="3"/>
  <c r="F138" i="3"/>
  <c r="E138" i="3"/>
  <c r="F137" i="3"/>
  <c r="E137" i="3"/>
  <c r="F136" i="3"/>
  <c r="E136" i="3"/>
  <c r="F135" i="3"/>
  <c r="E135" i="3"/>
  <c r="F134" i="3"/>
  <c r="E134" i="3"/>
  <c r="F133" i="3"/>
  <c r="E133" i="3"/>
  <c r="F132" i="3"/>
  <c r="E132" i="3"/>
  <c r="F131" i="3"/>
  <c r="E131" i="3"/>
  <c r="F130" i="3"/>
  <c r="E130" i="3"/>
  <c r="F129" i="3"/>
  <c r="E129" i="3"/>
  <c r="F128" i="3"/>
  <c r="E128" i="3"/>
  <c r="F127" i="3"/>
  <c r="E127" i="3"/>
  <c r="F126" i="3"/>
  <c r="E126" i="3"/>
  <c r="F125" i="3"/>
  <c r="E125" i="3"/>
  <c r="F124" i="3"/>
  <c r="E124" i="3"/>
  <c r="F123" i="3"/>
  <c r="E123" i="3"/>
  <c r="F122" i="3"/>
  <c r="E122" i="3"/>
  <c r="F121" i="3"/>
  <c r="E121" i="3"/>
  <c r="F120" i="3"/>
  <c r="E120" i="3"/>
  <c r="F119" i="3"/>
  <c r="E119" i="3"/>
  <c r="F118" i="3"/>
  <c r="E118" i="3"/>
  <c r="F117" i="3"/>
  <c r="E117" i="3"/>
  <c r="F116" i="3"/>
  <c r="E116" i="3"/>
  <c r="F115" i="3"/>
  <c r="E115" i="3"/>
  <c r="F114" i="3"/>
  <c r="E114" i="3"/>
  <c r="F113" i="3"/>
  <c r="E113" i="3"/>
  <c r="F112" i="3"/>
  <c r="E112" i="3"/>
  <c r="F111" i="3"/>
  <c r="E111" i="3"/>
  <c r="F110" i="3"/>
  <c r="E110" i="3"/>
  <c r="F109" i="3"/>
  <c r="E109" i="3"/>
  <c r="F108" i="3"/>
  <c r="E108" i="3"/>
  <c r="F107" i="3"/>
  <c r="E107" i="3"/>
  <c r="F106" i="3"/>
  <c r="E106" i="3"/>
  <c r="F105" i="3"/>
  <c r="E105" i="3"/>
  <c r="F104" i="3"/>
  <c r="E104" i="3"/>
  <c r="F103" i="3"/>
  <c r="E103" i="3"/>
  <c r="F102" i="3"/>
  <c r="E102" i="3"/>
  <c r="F101" i="3"/>
  <c r="E101" i="3"/>
  <c r="F100" i="3"/>
  <c r="E100" i="3"/>
  <c r="F99" i="3"/>
  <c r="E99" i="3"/>
  <c r="F98" i="3"/>
  <c r="E98" i="3"/>
  <c r="F97" i="3"/>
  <c r="E97" i="3"/>
  <c r="F96" i="3"/>
  <c r="E96" i="3"/>
  <c r="F95" i="3"/>
  <c r="E95" i="3"/>
  <c r="F94" i="3"/>
  <c r="E94" i="3"/>
  <c r="F93" i="3"/>
  <c r="E93" i="3"/>
  <c r="F92" i="3"/>
  <c r="E92" i="3"/>
  <c r="F91" i="3"/>
  <c r="E91" i="3"/>
  <c r="F90" i="3"/>
  <c r="E90" i="3"/>
  <c r="F89" i="3"/>
  <c r="E89" i="3"/>
  <c r="F88" i="3"/>
  <c r="E88" i="3"/>
  <c r="F87" i="3"/>
  <c r="E87" i="3"/>
  <c r="F86" i="3"/>
  <c r="E86" i="3"/>
  <c r="F85" i="3"/>
  <c r="E85" i="3"/>
  <c r="F84" i="3"/>
  <c r="E84" i="3"/>
  <c r="F83" i="3"/>
  <c r="E83" i="3"/>
  <c r="F82" i="3"/>
  <c r="E82" i="3"/>
  <c r="F81" i="3"/>
  <c r="E81" i="3"/>
  <c r="F80" i="3"/>
  <c r="E80" i="3"/>
  <c r="F79" i="3"/>
  <c r="E79" i="3"/>
  <c r="F78" i="3"/>
  <c r="E78" i="3"/>
  <c r="F77" i="3"/>
  <c r="E77" i="3"/>
  <c r="F76" i="3"/>
  <c r="E76" i="3"/>
  <c r="F75" i="3"/>
  <c r="E75" i="3"/>
  <c r="F74" i="3"/>
  <c r="E74" i="3"/>
  <c r="F73" i="3"/>
  <c r="E73" i="3"/>
  <c r="F72" i="3"/>
  <c r="E72" i="3"/>
  <c r="F71" i="3"/>
  <c r="E71" i="3"/>
  <c r="F70" i="3"/>
  <c r="E70" i="3"/>
  <c r="F69" i="3"/>
  <c r="E69" i="3"/>
  <c r="F68" i="3"/>
  <c r="E68" i="3"/>
  <c r="F67" i="3"/>
  <c r="E67" i="3"/>
  <c r="F66" i="3"/>
  <c r="E66" i="3"/>
  <c r="F65" i="3"/>
  <c r="E65" i="3"/>
  <c r="F64" i="3"/>
  <c r="E64" i="3"/>
  <c r="F63" i="3"/>
  <c r="E63" i="3"/>
  <c r="F62" i="3"/>
  <c r="E62" i="3"/>
  <c r="F61" i="3"/>
  <c r="E61" i="3"/>
  <c r="F60" i="3"/>
  <c r="E60" i="3"/>
  <c r="F59" i="3"/>
  <c r="E59" i="3"/>
  <c r="F58" i="3"/>
  <c r="E58" i="3"/>
  <c r="F57" i="3"/>
  <c r="E57" i="3"/>
  <c r="F56" i="3"/>
  <c r="E56" i="3"/>
  <c r="F55" i="3"/>
  <c r="E55" i="3"/>
  <c r="F54" i="3"/>
  <c r="E54" i="3"/>
  <c r="F53" i="3"/>
  <c r="E53" i="3"/>
  <c r="F52" i="3"/>
  <c r="E52" i="3"/>
  <c r="F51" i="3"/>
  <c r="E51" i="3"/>
  <c r="F50" i="3"/>
  <c r="E50" i="3"/>
  <c r="F49" i="3"/>
  <c r="E49" i="3"/>
  <c r="F48" i="3"/>
  <c r="E48" i="3"/>
  <c r="F47" i="3"/>
  <c r="E47" i="3"/>
  <c r="F46" i="3"/>
  <c r="E46" i="3"/>
  <c r="F45" i="3"/>
  <c r="E45" i="3"/>
  <c r="F44" i="3"/>
  <c r="E44" i="3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V6" i="1"/>
  <c r="V7" i="1"/>
  <c r="V8" i="1"/>
  <c r="V9" i="1"/>
  <c r="V10" i="1"/>
  <c r="V11" i="1"/>
  <c r="V12" i="1"/>
  <c r="V13" i="1"/>
  <c r="V14" i="1"/>
  <c r="V15" i="1"/>
  <c r="V16" i="1"/>
  <c r="V17" i="1"/>
  <c r="V5" i="1"/>
  <c r="O6" i="1"/>
  <c r="G11" i="1" s="1"/>
  <c r="H11" i="1" s="1"/>
  <c r="N7" i="1"/>
  <c r="O7" i="1" s="1"/>
  <c r="G9" i="1" s="1"/>
  <c r="H9" i="1" s="1"/>
  <c r="F11" i="1"/>
  <c r="F8" i="1"/>
  <c r="F9" i="1"/>
  <c r="F10" i="1"/>
  <c r="F7" i="1"/>
  <c r="I11" i="1" l="1"/>
  <c r="I9" i="1"/>
  <c r="N8" i="1"/>
  <c r="N9" i="1" s="1"/>
  <c r="N10" i="1" s="1"/>
  <c r="O8" i="1" l="1"/>
  <c r="O9" i="1"/>
  <c r="G8" i="1" s="1"/>
  <c r="H8" i="1" s="1"/>
  <c r="O10" i="1"/>
  <c r="I8" i="1" l="1"/>
  <c r="G7" i="1"/>
  <c r="H7" i="1" s="1"/>
  <c r="G10" i="1"/>
  <c r="H10" i="1" l="1"/>
  <c r="I10" i="1" s="1"/>
  <c r="I7" i="1"/>
  <c r="K4" i="1" l="1"/>
  <c r="J11" i="1"/>
  <c r="J7" i="1"/>
  <c r="J8" i="1"/>
  <c r="J10" i="1"/>
  <c r="J9" i="1"/>
  <c r="K11" i="1" l="1"/>
  <c r="K9" i="1"/>
  <c r="K10" i="1"/>
  <c r="K8" i="1"/>
  <c r="K7" i="1"/>
</calcChain>
</file>

<file path=xl/sharedStrings.xml><?xml version="1.0" encoding="utf-8"?>
<sst xmlns="http://schemas.openxmlformats.org/spreadsheetml/2006/main" count="1523" uniqueCount="389">
  <si>
    <t>value</t>
  </si>
  <si>
    <t>decay</t>
  </si>
  <si>
    <t>per year</t>
  </si>
  <si>
    <t>years</t>
  </si>
  <si>
    <t>total</t>
  </si>
  <si>
    <t>1-value</t>
  </si>
  <si>
    <t>probability</t>
  </si>
  <si>
    <t>rejects</t>
  </si>
  <si>
    <t>x</t>
  </si>
  <si>
    <t>val</t>
  </si>
  <si>
    <t>baseline</t>
  </si>
  <si>
    <t>pid</t>
  </si>
  <si>
    <t>player</t>
  </si>
  <si>
    <t>pos</t>
  </si>
  <si>
    <t>age</t>
  </si>
  <si>
    <t>Salary</t>
  </si>
  <si>
    <t>w_Age</t>
  </si>
  <si>
    <t>Ovr</t>
  </si>
  <si>
    <t>Pot</t>
  </si>
  <si>
    <t>Hgt</t>
  </si>
  <si>
    <t>Str</t>
  </si>
  <si>
    <t>Spd</t>
  </si>
  <si>
    <t>Jmp</t>
  </si>
  <si>
    <t>End</t>
  </si>
  <si>
    <t>Ins</t>
  </si>
  <si>
    <t>Dnk</t>
  </si>
  <si>
    <t>FT.1</t>
  </si>
  <si>
    <t>2Pt</t>
  </si>
  <si>
    <t>3Pt</t>
  </si>
  <si>
    <t>oIQ</t>
  </si>
  <si>
    <t>dIQ</t>
  </si>
  <si>
    <t>Drb</t>
  </si>
  <si>
    <t>Pss</t>
  </si>
  <si>
    <t>Reb</t>
  </si>
  <si>
    <t>Kris Franklin</t>
  </si>
  <si>
    <t>G</t>
  </si>
  <si>
    <t>Michael Titchenal</t>
  </si>
  <si>
    <t>GF</t>
  </si>
  <si>
    <t>Reginald Ferguson</t>
  </si>
  <si>
    <t>Charlie Benson</t>
  </si>
  <si>
    <t>D.J. Hoyt</t>
  </si>
  <si>
    <t>SG</t>
  </si>
  <si>
    <t>Derek Thompson</t>
  </si>
  <si>
    <t>FC</t>
  </si>
  <si>
    <t>Giuseppe Galli</t>
  </si>
  <si>
    <t>Hayden Walker</t>
  </si>
  <si>
    <t>PF</t>
  </si>
  <si>
    <t>Laurent Janssen</t>
  </si>
  <si>
    <t>Andy Jarvis</t>
  </si>
  <si>
    <t>Walter Uguak</t>
  </si>
  <si>
    <t>Grant Burton</t>
  </si>
  <si>
    <t>Raymond James</t>
  </si>
  <si>
    <t>Elliot Ollie</t>
  </si>
  <si>
    <t>SF</t>
  </si>
  <si>
    <t>Grant Ellis</t>
  </si>
  <si>
    <t>F</t>
  </si>
  <si>
    <t>Cedric Emanuel</t>
  </si>
  <si>
    <t>Mark Muo</t>
  </si>
  <si>
    <t>Clarence Howey</t>
  </si>
  <si>
    <t>Aleem Blackwood</t>
  </si>
  <si>
    <t>C</t>
  </si>
  <si>
    <t>Elijah Brace</t>
  </si>
  <si>
    <t>Brian Rocker</t>
  </si>
  <si>
    <t>Ilkka Paananen</t>
  </si>
  <si>
    <t>Muhammad Adri</t>
  </si>
  <si>
    <t>Trey Williams</t>
  </si>
  <si>
    <t>Ben Wright</t>
  </si>
  <si>
    <t>Kenny Erickson</t>
  </si>
  <si>
    <t>Charles Lakalaka</t>
  </si>
  <si>
    <t>Ashton Mason</t>
  </si>
  <si>
    <t>Mark Goodman</t>
  </si>
  <si>
    <t>Ben Tezeno</t>
  </si>
  <si>
    <t>Eric Mihalik</t>
  </si>
  <si>
    <t>Lamarr Henderson</t>
  </si>
  <si>
    <t>Aaron Ogden</t>
  </si>
  <si>
    <t>PG</t>
  </si>
  <si>
    <t>Coy Patt</t>
  </si>
  <si>
    <t>Kyler Beam</t>
  </si>
  <si>
    <t>Joel Jenkins</t>
  </si>
  <si>
    <t>Jeremy Maignan</t>
  </si>
  <si>
    <t>Joel Fernandez</t>
  </si>
  <si>
    <t>Ronald Lucky</t>
  </si>
  <si>
    <t>Richard Mielke</t>
  </si>
  <si>
    <t>Cameron Dyer</t>
  </si>
  <si>
    <t>Kendric Owen</t>
  </si>
  <si>
    <t>Montreal Jackson</t>
  </si>
  <si>
    <t>Jalen Mason</t>
  </si>
  <si>
    <t>Michael Speights</t>
  </si>
  <si>
    <t>Sam Smith</t>
  </si>
  <si>
    <t>Marcus Sealby</t>
  </si>
  <si>
    <t>Drew Keyton</t>
  </si>
  <si>
    <t>Patrick Cooper</t>
  </si>
  <si>
    <t>Dan Luther</t>
  </si>
  <si>
    <t>Marcos Leon</t>
  </si>
  <si>
    <t>Kirill Kim</t>
  </si>
  <si>
    <t>Joshua Slaughter</t>
  </si>
  <si>
    <t>Brooks Garvin</t>
  </si>
  <si>
    <t>Kamryn Mungin</t>
  </si>
  <si>
    <t>Joel Jakel</t>
  </si>
  <si>
    <t>Moses Guthrie</t>
  </si>
  <si>
    <t>Juan Godinez</t>
  </si>
  <si>
    <t>Skyler Shaw</t>
  </si>
  <si>
    <t>Gabe Patterson</t>
  </si>
  <si>
    <t>Robert Nwachukwu</t>
  </si>
  <si>
    <t>Javonte Moreland</t>
  </si>
  <si>
    <t>Danny Stamm</t>
  </si>
  <si>
    <t>Ryan Warfield</t>
  </si>
  <si>
    <t>Tré Rodgers</t>
  </si>
  <si>
    <t>Tom Cowan</t>
  </si>
  <si>
    <t>Zach Bullard</t>
  </si>
  <si>
    <t>Randy Walker</t>
  </si>
  <si>
    <t>Kenny Jones</t>
  </si>
  <si>
    <t>Doug Drew</t>
  </si>
  <si>
    <t>Matt Cook</t>
  </si>
  <si>
    <t>A.J. Lewis</t>
  </si>
  <si>
    <t>Ronnie Spencer</t>
  </si>
  <si>
    <t>Alan Reddick</t>
  </si>
  <si>
    <t>Ivan Martynenko</t>
  </si>
  <si>
    <t>Zeke Scott</t>
  </si>
  <si>
    <t>Tomas Majauskas</t>
  </si>
  <si>
    <t>Earnest Green</t>
  </si>
  <si>
    <t>Ben Ruggs</t>
  </si>
  <si>
    <t>Riley Keith</t>
  </si>
  <si>
    <t>Andre Washington</t>
  </si>
  <si>
    <t>Bo Matthews</t>
  </si>
  <si>
    <t>Michael McDaniels</t>
  </si>
  <si>
    <t>Maika Pettaway</t>
  </si>
  <si>
    <t>Jordan Duncan</t>
  </si>
  <si>
    <t>Chauncy Dingle</t>
  </si>
  <si>
    <t>Giorgi Abasi</t>
  </si>
  <si>
    <t>Aaron Allen</t>
  </si>
  <si>
    <t>Dominic Leake</t>
  </si>
  <si>
    <t>Solo Groover</t>
  </si>
  <si>
    <t>Elhadji Diop</t>
  </si>
  <si>
    <t>Cam Gottschalk</t>
  </si>
  <si>
    <t>James Fagan</t>
  </si>
  <si>
    <t>Eddie Baird</t>
  </si>
  <si>
    <t>Sam McVeigh</t>
  </si>
  <si>
    <t>Derick Alexander</t>
  </si>
  <si>
    <t>Jayce Hurtt</t>
  </si>
  <si>
    <t>Nick Gibson</t>
  </si>
  <si>
    <t>Isaac Thompson</t>
  </si>
  <si>
    <t>Connor Titchenal</t>
  </si>
  <si>
    <t>Josiah Jefferson</t>
  </si>
  <si>
    <t>Janis Miska</t>
  </si>
  <si>
    <t>Thierry Wouters</t>
  </si>
  <si>
    <t>Tyler McKenzie</t>
  </si>
  <si>
    <t>TK Roundtree</t>
  </si>
  <si>
    <t>Chase Gilbert</t>
  </si>
  <si>
    <t>Robert Hemphill Sr.</t>
  </si>
  <si>
    <t>Tim Aucoin</t>
  </si>
  <si>
    <t>Errol Sappleton</t>
  </si>
  <si>
    <t>Mark Travis</t>
  </si>
  <si>
    <t>Elisha Orth</t>
  </si>
  <si>
    <t>Raphaël Delannoy</t>
  </si>
  <si>
    <t>Reuben Hemsley</t>
  </si>
  <si>
    <t>Jackson Peeples</t>
  </si>
  <si>
    <t>Justas Balocka</t>
  </si>
  <si>
    <t>Jose Flores</t>
  </si>
  <si>
    <t>Todd Reigel</t>
  </si>
  <si>
    <t>Josh Mohr</t>
  </si>
  <si>
    <t>Chuck Washington</t>
  </si>
  <si>
    <t>Cody Hill</t>
  </si>
  <si>
    <t>Curtis Bennett</t>
  </si>
  <si>
    <t>Aleš Lah</t>
  </si>
  <si>
    <t>Nick Ray</t>
  </si>
  <si>
    <t>Justin Butler</t>
  </si>
  <si>
    <t>Tyreke Boyer</t>
  </si>
  <si>
    <t>Brayden Booker</t>
  </si>
  <si>
    <t>Holden Davis</t>
  </si>
  <si>
    <t>J.J. Irwin</t>
  </si>
  <si>
    <t>Sam Larson</t>
  </si>
  <si>
    <t>Anthony Bonds</t>
  </si>
  <si>
    <t>Brandon Laird</t>
  </si>
  <si>
    <t>Andy Wilson</t>
  </si>
  <si>
    <t>C.J. Fleming</t>
  </si>
  <si>
    <t>Ken McAvoy</t>
  </si>
  <si>
    <t>David Lyons</t>
  </si>
  <si>
    <t>Eddie Sullivan</t>
  </si>
  <si>
    <t>Hrvoje Pervan</t>
  </si>
  <si>
    <t>Corey Fisher</t>
  </si>
  <si>
    <t>Michael Godfrey</t>
  </si>
  <si>
    <t>Shabazz Brown</t>
  </si>
  <si>
    <t>Jake McCray</t>
  </si>
  <si>
    <t>Artur Tomaszek Sr.</t>
  </si>
  <si>
    <t>Dontay Cheatham</t>
  </si>
  <si>
    <t>Michael Barton</t>
  </si>
  <si>
    <t>Kevin Van Horn</t>
  </si>
  <si>
    <t>Kostas Leivaditis</t>
  </si>
  <si>
    <t>Chase Castellanos</t>
  </si>
  <si>
    <t>Devarick York</t>
  </si>
  <si>
    <t>Sean Moore</t>
  </si>
  <si>
    <t>Marquis Land</t>
  </si>
  <si>
    <t>J.J. Williams</t>
  </si>
  <si>
    <t>Allen Morton</t>
  </si>
  <si>
    <t>Demetrius Kittles</t>
  </si>
  <si>
    <t>Martin Zavadil</t>
  </si>
  <si>
    <t>Matt Nash</t>
  </si>
  <si>
    <t>Brandon Vincent</t>
  </si>
  <si>
    <t>Matthew Mason</t>
  </si>
  <si>
    <t>Max Brown</t>
  </si>
  <si>
    <t>Sharrod Ortega</t>
  </si>
  <si>
    <t>Dillon Khouri</t>
  </si>
  <si>
    <t>Vladimir Bratic</t>
  </si>
  <si>
    <t>Dell Skipper</t>
  </si>
  <si>
    <t>Stanley Dudley</t>
  </si>
  <si>
    <t>Demetrius Bernard</t>
  </si>
  <si>
    <t>Wade O'Kelly</t>
  </si>
  <si>
    <t>Kingsley Frederick</t>
  </si>
  <si>
    <t>Willie Mathis</t>
  </si>
  <si>
    <t>Nick Frazier</t>
  </si>
  <si>
    <t>Jerry Jones</t>
  </si>
  <si>
    <t>Charles Hawkins</t>
  </si>
  <si>
    <t>Jordan Sheppard</t>
  </si>
  <si>
    <t>Kyle Rascoe</t>
  </si>
  <si>
    <t>Billy Johnson</t>
  </si>
  <si>
    <t>Luke Criddle</t>
  </si>
  <si>
    <t>Roy James</t>
  </si>
  <si>
    <t>Michael Robertson</t>
  </si>
  <si>
    <t>Larry Joseph</t>
  </si>
  <si>
    <t>William Van Leeuwen</t>
  </si>
  <si>
    <t>Wil Hales</t>
  </si>
  <si>
    <t>Greg Davis</t>
  </si>
  <si>
    <t>Jarrel Cooper</t>
  </si>
  <si>
    <t>Joe Blue</t>
  </si>
  <si>
    <t>Kari Turpeinen</t>
  </si>
  <si>
    <t>Garrett Patterson</t>
  </si>
  <si>
    <t>Jack Williamson</t>
  </si>
  <si>
    <t>Nikos Zaras</t>
  </si>
  <si>
    <t>Nick Sheppard</t>
  </si>
  <si>
    <t>Mikel Howard</t>
  </si>
  <si>
    <t>Victor Legrand</t>
  </si>
  <si>
    <t>Didier Louis</t>
  </si>
  <si>
    <t>Josh Washington</t>
  </si>
  <si>
    <t>Drew Lewis</t>
  </si>
  <si>
    <t>Harri Savolainen</t>
  </si>
  <si>
    <t>Victor Reyes</t>
  </si>
  <si>
    <t>Lane Webb</t>
  </si>
  <si>
    <t>Jon Myles</t>
  </si>
  <si>
    <t>Danny Allen</t>
  </si>
  <si>
    <t>Todd Newell</t>
  </si>
  <si>
    <t>Alex Weatherford</t>
  </si>
  <si>
    <t>Billy Thompson</t>
  </si>
  <si>
    <t>Nate Onyegbule</t>
  </si>
  <si>
    <t>Andrew Taylor</t>
  </si>
  <si>
    <t>Shawn Williams</t>
  </si>
  <si>
    <t>Cameron Hartmann</t>
  </si>
  <si>
    <t>Milos Nikolić</t>
  </si>
  <si>
    <t>Demetri Smith</t>
  </si>
  <si>
    <t>Thomas Atkins</t>
  </si>
  <si>
    <t>Azamat Ivanov</t>
  </si>
  <si>
    <t>Wendell Price</t>
  </si>
  <si>
    <t>Blake Pierce</t>
  </si>
  <si>
    <t>Dušan Mesicek</t>
  </si>
  <si>
    <t>Connor Moore</t>
  </si>
  <si>
    <t>Jared Broussard</t>
  </si>
  <si>
    <t>Bruno Tomas</t>
  </si>
  <si>
    <t>Jalen Gladney</t>
  </si>
  <si>
    <t>Zach Moore</t>
  </si>
  <si>
    <t>Tyler Turner</t>
  </si>
  <si>
    <t>Daniel Cannon</t>
  </si>
  <si>
    <t>Pedro Llompart</t>
  </si>
  <si>
    <t>Alexander Krebs</t>
  </si>
  <si>
    <t>Byron Kilcrease</t>
  </si>
  <si>
    <t>Charles Power</t>
  </si>
  <si>
    <t>Emmanuel Acquah</t>
  </si>
  <si>
    <t>Marcus Rucker</t>
  </si>
  <si>
    <t>Richard Dietzen</t>
  </si>
  <si>
    <t>Brian Campbell</t>
  </si>
  <si>
    <t>Alex Bergen</t>
  </si>
  <si>
    <t>Kyle Bates</t>
  </si>
  <si>
    <t>Stanley Thacker</t>
  </si>
  <si>
    <t>Will Epps</t>
  </si>
  <si>
    <t>Myron Mungin</t>
  </si>
  <si>
    <t>Zach Winters</t>
  </si>
  <si>
    <t>Morris Pistokache</t>
  </si>
  <si>
    <t>James Clausen</t>
  </si>
  <si>
    <t>God'sgift Osu</t>
  </si>
  <si>
    <t>Braxton Taylor</t>
  </si>
  <si>
    <t>Ryan Davis</t>
  </si>
  <si>
    <t>Patrick Jennings</t>
  </si>
  <si>
    <t>Mario Morrow</t>
  </si>
  <si>
    <t>Darreon Bush</t>
  </si>
  <si>
    <t>#</t>
  </si>
  <si>
    <t>Name</t>
  </si>
  <si>
    <t>Pos</t>
  </si>
  <si>
    <t>Age</t>
  </si>
  <si>
    <t>Contract</t>
  </si>
  <si>
    <t>Exp</t>
  </si>
  <si>
    <t>PER</t>
  </si>
  <si>
    <t>EWA</t>
  </si>
  <si>
    <t>Draft</t>
  </si>
  <si>
    <t>Draftand sim</t>
  </si>
  <si>
    <t>Martin Mitchell</t>
  </si>
  <si>
    <t>Evan Rogers</t>
  </si>
  <si>
    <t>Jackson Shelley</t>
  </si>
  <si>
    <t>Lorenzo Patterson</t>
  </si>
  <si>
    <t>Romel Price</t>
  </si>
  <si>
    <t>Long Meng</t>
  </si>
  <si>
    <t>Johnny Roseberry</t>
  </si>
  <si>
    <t>Luca Brambilla</t>
  </si>
  <si>
    <t>Reginald Wire</t>
  </si>
  <si>
    <t>C.J. Cobb</t>
  </si>
  <si>
    <t>Sherron Powers</t>
  </si>
  <si>
    <t>A.J. Dugas</t>
  </si>
  <si>
    <t>Matt High</t>
  </si>
  <si>
    <t>Wesley Adkins</t>
  </si>
  <si>
    <t>Greg Acevedo</t>
  </si>
  <si>
    <t>Markell Okonkwo</t>
  </si>
  <si>
    <t>Mike Washington</t>
  </si>
  <si>
    <t>Aaron Lamar</t>
  </si>
  <si>
    <t>Andrew Salahuddin</t>
  </si>
  <si>
    <t>Zac Hughes</t>
  </si>
  <si>
    <t>Marko Stefanovic</t>
  </si>
  <si>
    <t>Clinton Williams</t>
  </si>
  <si>
    <t>John Dell</t>
  </si>
  <si>
    <t>Jonathan Parker</t>
  </si>
  <si>
    <t>Kamryn Simmons</t>
  </si>
  <si>
    <t>Jake Stevenson</t>
  </si>
  <si>
    <t>Nathan Reese</t>
  </si>
  <si>
    <t>Stanko Zupančič</t>
  </si>
  <si>
    <t>Carlos Camacho</t>
  </si>
  <si>
    <t>Tra Riley</t>
  </si>
  <si>
    <t>Jake Nelson</t>
  </si>
  <si>
    <t>Hendrik Boom</t>
  </si>
  <si>
    <t>Zeke Gonzalez</t>
  </si>
  <si>
    <t>Kevin Clemons</t>
  </si>
  <si>
    <t>Aaron Underwood</t>
  </si>
  <si>
    <t>Luke Domond</t>
  </si>
  <si>
    <t>David Hines</t>
  </si>
  <si>
    <t>Luka Dangubic</t>
  </si>
  <si>
    <t>Aleksa Huskic</t>
  </si>
  <si>
    <t>Chasen Bates</t>
  </si>
  <si>
    <t>Thomas Williams</t>
  </si>
  <si>
    <t>Sean White Sr.</t>
  </si>
  <si>
    <t>Houston Sweeney</t>
  </si>
  <si>
    <t>Chase Carriker</t>
  </si>
  <si>
    <t>Matt Foster</t>
  </si>
  <si>
    <t>Cole Dunleavy</t>
  </si>
  <si>
    <t>Tyler Burton</t>
  </si>
  <si>
    <t>Austin Chichester</t>
  </si>
  <si>
    <t>T.C. Hall</t>
  </si>
  <si>
    <t>Jaka Lah</t>
  </si>
  <si>
    <t>Walter Vinson</t>
  </si>
  <si>
    <t>Joe Stephens</t>
  </si>
  <si>
    <t>Ephraim Howard</t>
  </si>
  <si>
    <t>Jarvis Tennant</t>
  </si>
  <si>
    <t>Mason Harper</t>
  </si>
  <si>
    <t>Don Van Demark</t>
  </si>
  <si>
    <t>R.J. Darney</t>
  </si>
  <si>
    <t>Legend Edwards</t>
  </si>
  <si>
    <t>Peter John</t>
  </si>
  <si>
    <t>Josh Massaquoi</t>
  </si>
  <si>
    <t>Austin Anderson</t>
  </si>
  <si>
    <t>Hendrick Brothers</t>
  </si>
  <si>
    <t>Leon Pickett</t>
  </si>
  <si>
    <t>Akeem Bourdeau</t>
  </si>
  <si>
    <t>Oscar Jenkins</t>
  </si>
  <si>
    <t>Steve Young</t>
  </si>
  <si>
    <t>Trey Dunn</t>
  </si>
  <si>
    <t>Jason Miller</t>
  </si>
  <si>
    <t>Tim Simmons</t>
  </si>
  <si>
    <t>Jarell Broman</t>
  </si>
  <si>
    <t>Stanko Glintic</t>
  </si>
  <si>
    <t>Derrick Battle</t>
  </si>
  <si>
    <t>Jeferson Groebe</t>
  </si>
  <si>
    <t>Graham Young</t>
  </si>
  <si>
    <t>Dylan Goode</t>
  </si>
  <si>
    <t>Jonathan Drew</t>
  </si>
  <si>
    <t>J.J. Bowen</t>
  </si>
  <si>
    <t>Bob Boyd</t>
  </si>
  <si>
    <t>Tramel Neal</t>
  </si>
  <si>
    <t>Aleš Rozman</t>
  </si>
  <si>
    <t>Allen Morrison</t>
  </si>
  <si>
    <t>Jeremy Nicks</t>
  </si>
  <si>
    <t>Evan Harmon</t>
  </si>
  <si>
    <t>Donte Neely</t>
  </si>
  <si>
    <t>Brandon Brown</t>
  </si>
  <si>
    <t>Mackenzie Tilbey</t>
  </si>
  <si>
    <t>Karlos Todd</t>
  </si>
  <si>
    <t>Sammie Johnson</t>
  </si>
  <si>
    <t>Walter Thornton</t>
  </si>
  <si>
    <t>Parker Dowdy</t>
  </si>
  <si>
    <t>Joe Jones</t>
  </si>
  <si>
    <t>expiring</t>
  </si>
  <si>
    <t>VORP</t>
  </si>
  <si>
    <t>xSalary</t>
  </si>
  <si>
    <t>Surplus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</si>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</sst>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30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Sheet1!$V$4</c:f>
              <c:strCache>
                <c:ptCount val="1"/>
                <c:pt idx="0">
                  <c:v>val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Sheet1!$U$5:$U$17</c:f>
              <c:numCache>
                <c:formatCode>General</c:formatCode>
                <c:ptCount val="13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</c:numCache>
            </c:numRef>
          </c:xVal>
          <c:yVal>
            <c:numRef>
              <c:f>Sheet1!$V$5:$V$17</c:f>
              <c:numCache>
                <c:formatCode>General</c:formatCode>
                <c:ptCount val="13"/>
                <c:pt idx="0">
                  <c:v>4.7425873177566802E-2</c:v>
                </c:pt>
                <c:pt idx="1">
                  <c:v>7.585818002124356E-2</c:v>
                </c:pt>
                <c:pt idx="2">
                  <c:v>0.11920292202211757</c:v>
                </c:pt>
                <c:pt idx="3">
                  <c:v>0.18242552380635635</c:v>
                </c:pt>
                <c:pt idx="4">
                  <c:v>0.2689414213699951</c:v>
                </c:pt>
                <c:pt idx="5">
                  <c:v>0.37754066879814541</c:v>
                </c:pt>
                <c:pt idx="6">
                  <c:v>0.5</c:v>
                </c:pt>
                <c:pt idx="7">
                  <c:v>0.62245933120185459</c:v>
                </c:pt>
                <c:pt idx="8">
                  <c:v>0.7310585786300049</c:v>
                </c:pt>
                <c:pt idx="9">
                  <c:v>0.81757447619364365</c:v>
                </c:pt>
                <c:pt idx="10">
                  <c:v>0.88079707797788243</c:v>
                </c:pt>
                <c:pt idx="11">
                  <c:v>0.92414181997875644</c:v>
                </c:pt>
                <c:pt idx="12">
                  <c:v>0.95257412682243325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2-40EF-B5FC-A4E2B9C99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881936"/>
        <c:axId val="1265926719"/>
      </c:scatterChart>
      <c:valAx>
        <c:axId val="97388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926719"/>
        <c:crosses val="autoZero"/>
        <c:crossBetween val="midCat"/>
      </c:valAx>
      <c:valAx>
        <c:axId val="126592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88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581025</xdr:colOff>
      <xdr:row>14</xdr:row>
      <xdr:rowOff>119062</xdr:rowOff>
    </xdr:from>
    <xdr:to>
      <xdr:col>19</xdr:col>
      <xdr:colOff>276225</xdr:colOff>
      <xdr:row>29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375B8F-18DE-5A4F-F175-BCDF39C18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16CEAA-9CCA-4987-8694-1911054A1728}" name="Table1" displayName="Table1" ref="A1:AB241" totalsRowShown="0" headerRowDxfId="1" dataDxfId="0">
  <autoFilter ref="A1:AB241" xr:uid="{D816CEAA-9CCA-4987-8694-1911054A1728}">
    <filterColumn colId="2">
      <filters>
        <filter val="Azamat Ivanov"/>
        <filter val="Brandon Vincent"/>
        <filter val="Charles Lakalaka"/>
        <filter val="Derek Thompson"/>
        <filter val="Earnest Green"/>
        <filter val="Eddie Baird"/>
        <filter val="Jerry Jones"/>
        <filter val="Kendric Owen"/>
        <filter val="Montreal Jackson"/>
        <filter val="Nick Gibson"/>
        <filter val="Pedro Llompart"/>
        <filter val="Raphaël Delannoy"/>
        <filter val="Ronnie Spencer"/>
        <filter val="Shawn Williams"/>
      </filters>
    </filterColumn>
  </autoFilter>
  <sortState xmlns:xlrd2="http://schemas.microsoft.com/office/spreadsheetml/2017/richdata2" ref="A2:AB241">
    <sortCondition descending="1" ref="I1:I241"/>
  </sortState>
  <tableColumns count="28">
    <tableColumn id="1" xr3:uid="{B996F479-CE62-4A1D-B774-76B30086C0E8}" name="draft" dataDxfId="29"/>
    <tableColumn id="2" xr3:uid="{28C3CDCF-AC60-41F8-AC87-65BA4C5D6992}" name="pid" dataDxfId="28"/>
    <tableColumn id="3" xr3:uid="{5445CE16-3B2C-4EE7-BCE7-C456A45E227B}" name="player" dataDxfId="27"/>
    <tableColumn id="4" xr3:uid="{9A6348D5-8F8A-4152-ABAB-AC7C4A01BC51}" name="pos" dataDxfId="26"/>
    <tableColumn id="5" xr3:uid="{5E778919-1075-4C29-99B5-370093DD6D96}" name="age" dataDxfId="25"/>
    <tableColumn id="6" xr3:uid="{AB27222A-417F-4320-B568-D83CB21CCDB8}" name="Salary" dataDxfId="24"/>
    <tableColumn id="7" xr3:uid="{651920B1-2D3D-4A9F-A01F-6BE857912048}" name="expiring" dataDxfId="23"/>
    <tableColumn id="8" xr3:uid="{09F93615-5E8B-496A-916E-6F65A569C0B9}" name="w_Age" dataDxfId="22"/>
    <tableColumn id="9" xr3:uid="{4878821A-5D49-4D1B-83DD-59D00C75CBCA}" name="Ovr" dataDxfId="21"/>
    <tableColumn id="10" xr3:uid="{BD38B106-B62E-4FC8-B45D-6AFC4BEC26F6}" name="Pot" dataDxfId="20"/>
    <tableColumn id="11" xr3:uid="{B3750B94-389C-47D2-B01C-2E27C3BD2ED6}" name="Hgt" dataDxfId="19"/>
    <tableColumn id="12" xr3:uid="{8719E221-4C61-4F75-A1CA-F3AE05E48A52}" name="Str" dataDxfId="18"/>
    <tableColumn id="13" xr3:uid="{F672558D-0B92-45C2-862D-16A502709765}" name="Spd" dataDxfId="17"/>
    <tableColumn id="14" xr3:uid="{3BDC203F-30CB-48B9-A48D-ABDB048E460B}" name="Jmp" dataDxfId="16"/>
    <tableColumn id="15" xr3:uid="{309BA47A-6391-481C-9DB3-6132FDCDF80E}" name="End" dataDxfId="15"/>
    <tableColumn id="16" xr3:uid="{C940BFCD-848A-4D26-8787-F38D5B8355A1}" name="Ins" dataDxfId="14"/>
    <tableColumn id="17" xr3:uid="{C566CD9A-7A0D-4CA7-8178-1FFEF939994A}" name="Dnk" dataDxfId="13"/>
    <tableColumn id="18" xr3:uid="{ACAF0400-9F76-4583-B1A1-B6495ED249C9}" name="FT.1" dataDxfId="12"/>
    <tableColumn id="19" xr3:uid="{A5E0E0D3-3D8E-4327-BFCB-B72019047350}" name="2Pt" dataDxfId="11"/>
    <tableColumn id="20" xr3:uid="{F2D7A38B-4A9D-4288-AC81-24C133A3A6BC}" name="3Pt" dataDxfId="10"/>
    <tableColumn id="21" xr3:uid="{C82C67B0-3264-4763-8389-A2A0F7BA2074}" name="oIQ" dataDxfId="9"/>
    <tableColumn id="22" xr3:uid="{9A0477FA-9427-4BED-AA75-50F96F40F49F}" name="dIQ" dataDxfId="8"/>
    <tableColumn id="23" xr3:uid="{D4E315C2-1100-4FCE-9D60-A9C801789AD4}" name="Drb" dataDxfId="7"/>
    <tableColumn id="24" xr3:uid="{C2097D29-DA95-42F7-A251-E1EE6A500575}" name="Pss" dataDxfId="6"/>
    <tableColumn id="25" xr3:uid="{2CBA216C-8653-44A5-8241-C1167BA30B1C}" name="Reb" dataDxfId="5"/>
    <tableColumn id="26" xr3:uid="{94C2D8C4-E6CA-40A9-9F0A-8D5998037713}" name="VORP" dataDxfId="4"/>
    <tableColumn id="27" xr3:uid="{0ECAFC67-163D-4C9A-A3C6-8BBC958F83AE}" name="xSalary" dataDxfId="3">
      <calculatedColumnFormula>MAX(120*16*Z2/SUM(Z:Z),0.75)</calculatedColumnFormula>
    </tableColumn>
    <tableColumn id="28" xr3:uid="{422C9A5A-FF4B-4EDA-96A6-603A6DB381DC}" name="Surplus" dataDxfId="2">
      <calculatedColumnFormula>AA2-F2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7979C-858F-4575-8800-208AFA5D8C88}">
  <dimension ref="A1:AB241"/>
  <sheetViews>
    <sheetView tabSelected="1" workbookViewId="0">
      <selection activeCell="L157" sqref="L157"/>
    </sheetView>
  </sheetViews>
  <sheetFormatPr defaultColWidth="9.140625" defaultRowHeight="15" x14ac:dyDescent="0.25"/>
  <cols>
    <col min="1" max="1" width="9.85546875" style="1" bestFit="1" customWidth="1"/>
    <col min="2" max="2" width="8.42578125" style="1" bestFit="1" customWidth="1"/>
    <col min="3" max="3" width="20.5703125" style="1" bestFit="1" customWidth="1"/>
    <col min="4" max="5" width="8.7109375" style="1" bestFit="1" customWidth="1"/>
    <col min="6" max="6" width="10.85546875" style="1" bestFit="1" customWidth="1"/>
    <col min="7" max="7" width="12.85546875" style="1" bestFit="1" customWidth="1"/>
    <col min="8" max="8" width="11.5703125" style="2" bestFit="1" customWidth="1"/>
    <col min="9" max="9" width="8.7109375" style="2" bestFit="1" customWidth="1"/>
    <col min="10" max="11" width="8.5703125" style="2" bestFit="1" customWidth="1"/>
    <col min="12" max="12" width="8" style="2" bestFit="1" customWidth="1"/>
    <col min="13" max="13" width="8.85546875" style="2" bestFit="1" customWidth="1"/>
    <col min="14" max="14" width="9.140625" style="2" bestFit="1" customWidth="1"/>
    <col min="15" max="15" width="8.85546875" style="2" bestFit="1" customWidth="1"/>
    <col min="16" max="16" width="8.140625" style="2" bestFit="1" customWidth="1"/>
    <col min="17" max="17" width="9" style="2" bestFit="1" customWidth="1"/>
    <col min="18" max="18" width="9.140625" style="2" bestFit="1" customWidth="1"/>
    <col min="19" max="20" width="8.42578125" style="2" bestFit="1" customWidth="1"/>
    <col min="21" max="23" width="8.7109375" style="2" bestFit="1" customWidth="1"/>
    <col min="24" max="24" width="8.42578125" style="2" bestFit="1" customWidth="1"/>
    <col min="25" max="25" width="9" style="2" bestFit="1" customWidth="1"/>
    <col min="26" max="26" width="10.5703125" style="2" bestFit="1" customWidth="1"/>
    <col min="27" max="27" width="11.85546875" style="2" bestFit="1" customWidth="1"/>
    <col min="28" max="28" width="12.140625" style="1" bestFit="1" customWidth="1"/>
    <col min="29" max="16384" width="9.140625" style="1"/>
  </cols>
  <sheetData>
    <row r="1" spans="1:28" x14ac:dyDescent="0.25">
      <c r="A1" s="1" t="s">
        <v>388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384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385</v>
      </c>
      <c r="AA1" s="2" t="s">
        <v>386</v>
      </c>
      <c r="AB1" s="1" t="s">
        <v>387</v>
      </c>
    </row>
    <row r="2" spans="1:28" hidden="1" x14ac:dyDescent="0.25">
      <c r="A2" s="1">
        <v>1</v>
      </c>
      <c r="B2" s="1">
        <v>78</v>
      </c>
      <c r="C2" s="1" t="s">
        <v>34</v>
      </c>
      <c r="D2" s="1" t="s">
        <v>35</v>
      </c>
      <c r="E2" s="1">
        <v>27</v>
      </c>
      <c r="F2" s="1">
        <v>33.79</v>
      </c>
      <c r="G2" s="1">
        <v>2089</v>
      </c>
      <c r="H2" s="2">
        <v>27.147345536152599</v>
      </c>
      <c r="I2" s="2">
        <v>69.112566130848506</v>
      </c>
      <c r="J2" s="2">
        <v>70.891857370984894</v>
      </c>
      <c r="K2" s="2">
        <v>32.587978312547897</v>
      </c>
      <c r="L2" s="2">
        <v>65.265830896880601</v>
      </c>
      <c r="M2" s="2">
        <v>72.363627972814896</v>
      </c>
      <c r="N2" s="2">
        <v>69.758784328993997</v>
      </c>
      <c r="O2" s="2">
        <v>61.215829808638702</v>
      </c>
      <c r="P2" s="2">
        <v>54.023829273384898</v>
      </c>
      <c r="Q2" s="2">
        <v>57.310527410395302</v>
      </c>
      <c r="R2" s="2">
        <v>69.950021079648806</v>
      </c>
      <c r="S2" s="2">
        <v>72.300307609712902</v>
      </c>
      <c r="T2" s="2">
        <v>72.174231963196405</v>
      </c>
      <c r="U2" s="2">
        <v>63.797241185845103</v>
      </c>
      <c r="V2" s="2">
        <v>61.206099716815203</v>
      </c>
      <c r="W2" s="2">
        <v>75.271428490817996</v>
      </c>
      <c r="X2" s="2">
        <v>72.556356824042496</v>
      </c>
      <c r="Y2" s="2">
        <v>56.8189366989834</v>
      </c>
      <c r="Z2" s="2">
        <v>7.9839418286371702</v>
      </c>
      <c r="AA2" s="2">
        <f>MAX(120*16*Z2/SUM(Z:Z),0.75)</f>
        <v>114.0341056648368</v>
      </c>
      <c r="AB2" s="2">
        <f>AA2-F2</f>
        <v>80.244105664836809</v>
      </c>
    </row>
    <row r="3" spans="1:28" hidden="1" x14ac:dyDescent="0.25">
      <c r="A3" s="1">
        <v>1</v>
      </c>
      <c r="B3" s="1">
        <v>80</v>
      </c>
      <c r="C3" s="1" t="s">
        <v>36</v>
      </c>
      <c r="D3" s="1" t="s">
        <v>37</v>
      </c>
      <c r="E3" s="1">
        <v>30</v>
      </c>
      <c r="F3" s="1">
        <v>20.62</v>
      </c>
      <c r="G3" s="1">
        <v>2089</v>
      </c>
      <c r="H3" s="2">
        <v>27.869000187238999</v>
      </c>
      <c r="I3" s="2">
        <v>67.953848850221803</v>
      </c>
      <c r="J3" s="2">
        <v>69.146821508972195</v>
      </c>
      <c r="K3" s="2">
        <v>37.984780298972801</v>
      </c>
      <c r="L3" s="2">
        <v>62.501156092016998</v>
      </c>
      <c r="M3" s="2">
        <v>69.029017691909004</v>
      </c>
      <c r="N3" s="2">
        <v>63.936619595650797</v>
      </c>
      <c r="O3" s="2">
        <v>58.9207086343309</v>
      </c>
      <c r="P3" s="2">
        <v>51.2202213774694</v>
      </c>
      <c r="Q3" s="2">
        <v>56.1611496475116</v>
      </c>
      <c r="R3" s="2">
        <v>65.381946893791905</v>
      </c>
      <c r="S3" s="2">
        <v>64.691153610011597</v>
      </c>
      <c r="T3" s="2">
        <v>64.832294809995901</v>
      </c>
      <c r="U3" s="2">
        <v>63.656438191532402</v>
      </c>
      <c r="V3" s="2">
        <v>62.544640174524098</v>
      </c>
      <c r="W3" s="2">
        <v>74.460077813048301</v>
      </c>
      <c r="X3" s="2">
        <v>69.778559391778003</v>
      </c>
      <c r="Y3" s="2">
        <v>59.131096698061803</v>
      </c>
      <c r="Z3" s="2">
        <v>7.5808940436230703</v>
      </c>
      <c r="AA3" s="2">
        <f>MAX(120*16*Z3/SUM(Z:Z),0.75)</f>
        <v>108.27740118342129</v>
      </c>
      <c r="AB3" s="2">
        <f>AA3-F3</f>
        <v>87.657401183421285</v>
      </c>
    </row>
    <row r="4" spans="1:28" hidden="1" x14ac:dyDescent="0.25">
      <c r="A4" s="1">
        <v>1</v>
      </c>
      <c r="B4" s="1">
        <v>82</v>
      </c>
      <c r="C4" s="1" t="s">
        <v>38</v>
      </c>
      <c r="D4" s="1" t="s">
        <v>37</v>
      </c>
      <c r="E4" s="1">
        <v>24</v>
      </c>
      <c r="F4" s="1">
        <v>35</v>
      </c>
      <c r="G4" s="1">
        <v>2089</v>
      </c>
      <c r="H4" s="2">
        <v>25.309485891018898</v>
      </c>
      <c r="I4" s="2">
        <v>65.914117883685805</v>
      </c>
      <c r="J4" s="2">
        <v>69.037654723986194</v>
      </c>
      <c r="K4" s="2">
        <v>44.430788836792097</v>
      </c>
      <c r="L4" s="2">
        <v>60.546364439696298</v>
      </c>
      <c r="M4" s="2">
        <v>68.072698017026994</v>
      </c>
      <c r="N4" s="2">
        <v>68.679374311696705</v>
      </c>
      <c r="O4" s="2">
        <v>56.309068787465101</v>
      </c>
      <c r="P4" s="2">
        <v>48.703335509525701</v>
      </c>
      <c r="Q4" s="2">
        <v>59.769252708700101</v>
      </c>
      <c r="R4" s="2">
        <v>60.341137950818002</v>
      </c>
      <c r="S4" s="2">
        <v>60.986324608779903</v>
      </c>
      <c r="T4" s="2">
        <v>61.2577666989798</v>
      </c>
      <c r="U4" s="2">
        <v>61.389264776676399</v>
      </c>
      <c r="V4" s="2">
        <v>55.854061566462804</v>
      </c>
      <c r="W4" s="2">
        <v>68.9196770662288</v>
      </c>
      <c r="X4" s="2">
        <v>61.899758310747004</v>
      </c>
      <c r="Y4" s="2">
        <v>55.419955684808201</v>
      </c>
      <c r="Z4" s="2">
        <v>5.8352801114963704</v>
      </c>
      <c r="AA4" s="2">
        <f>MAX(120*16*Z4/SUM(Z:Z),0.75)</f>
        <v>83.344914467128916</v>
      </c>
      <c r="AB4" s="2">
        <f>AA4-F4</f>
        <v>48.344914467128916</v>
      </c>
    </row>
    <row r="5" spans="1:28" hidden="1" x14ac:dyDescent="0.25">
      <c r="A5" s="1">
        <v>1</v>
      </c>
      <c r="B5" s="1">
        <v>0</v>
      </c>
      <c r="C5" s="1" t="s">
        <v>39</v>
      </c>
      <c r="D5" s="1" t="s">
        <v>35</v>
      </c>
      <c r="E5" s="1">
        <v>26</v>
      </c>
      <c r="F5" s="1">
        <v>22.28</v>
      </c>
      <c r="G5" s="1">
        <v>2085</v>
      </c>
      <c r="H5" s="2">
        <v>26.0708893166758</v>
      </c>
      <c r="I5" s="2">
        <v>65.581382101044994</v>
      </c>
      <c r="J5" s="2">
        <v>68.322611377386593</v>
      </c>
      <c r="K5" s="2">
        <v>28.134494251067199</v>
      </c>
      <c r="L5" s="2">
        <v>59.337959325318799</v>
      </c>
      <c r="M5" s="2">
        <v>72.629609622587097</v>
      </c>
      <c r="N5" s="2">
        <v>71.443983918702997</v>
      </c>
      <c r="O5" s="2">
        <v>59.2153001492889</v>
      </c>
      <c r="P5" s="2">
        <v>46.8992823655745</v>
      </c>
      <c r="Q5" s="2">
        <v>48.0044361069641</v>
      </c>
      <c r="R5" s="2">
        <v>66.528993478431602</v>
      </c>
      <c r="S5" s="2">
        <v>68.680037191273101</v>
      </c>
      <c r="T5" s="2">
        <v>68.117132867132796</v>
      </c>
      <c r="U5" s="2">
        <v>62.599948272700999</v>
      </c>
      <c r="V5" s="2">
        <v>54.963018255153003</v>
      </c>
      <c r="W5" s="2">
        <v>75.523201985280593</v>
      </c>
      <c r="X5" s="2">
        <v>75.837026269610504</v>
      </c>
      <c r="Y5" s="2">
        <v>53.756066499044003</v>
      </c>
      <c r="Z5" s="2">
        <v>6.4398305878560498</v>
      </c>
      <c r="AA5" s="2">
        <f>MAX(120*16*Z5/SUM(Z:Z),0.75)</f>
        <v>91.979668374484831</v>
      </c>
      <c r="AB5" s="2">
        <f>AA5-F5</f>
        <v>69.69966837448483</v>
      </c>
    </row>
    <row r="6" spans="1:28" hidden="1" x14ac:dyDescent="0.25">
      <c r="A6" s="1">
        <v>1</v>
      </c>
      <c r="B6" s="1">
        <v>86</v>
      </c>
      <c r="C6" s="1" t="s">
        <v>40</v>
      </c>
      <c r="D6" s="1" t="s">
        <v>41</v>
      </c>
      <c r="E6" s="1">
        <v>26</v>
      </c>
      <c r="F6" s="1">
        <v>14.71</v>
      </c>
      <c r="G6" s="1">
        <v>2089</v>
      </c>
      <c r="H6" s="2">
        <v>25.939393939393899</v>
      </c>
      <c r="I6" s="2">
        <v>65.089292929292895</v>
      </c>
      <c r="J6" s="2">
        <v>67.722020202020204</v>
      </c>
      <c r="K6" s="2">
        <v>48.338383838383798</v>
      </c>
      <c r="L6" s="2">
        <v>61.2915151515151</v>
      </c>
      <c r="M6" s="2">
        <v>67.820202020202004</v>
      </c>
      <c r="N6" s="2">
        <v>64.679191919191894</v>
      </c>
      <c r="O6" s="2">
        <v>56.404040404040401</v>
      </c>
      <c r="P6" s="2">
        <v>50.305252525252499</v>
      </c>
      <c r="Q6" s="2">
        <v>62.143030303030301</v>
      </c>
      <c r="R6" s="2">
        <v>62.191919191919098</v>
      </c>
      <c r="S6" s="2">
        <v>63.269696969696902</v>
      </c>
      <c r="T6" s="2">
        <v>66.045858585858497</v>
      </c>
      <c r="U6" s="2">
        <v>58.3591919191919</v>
      </c>
      <c r="V6" s="2">
        <v>54.139797979797898</v>
      </c>
      <c r="W6" s="2">
        <v>61.199191919191897</v>
      </c>
      <c r="X6" s="2">
        <v>55.086262626262602</v>
      </c>
      <c r="Y6" s="2">
        <v>50.919595959595902</v>
      </c>
      <c r="Z6" s="2">
        <v>4.4795768174721804</v>
      </c>
      <c r="AA6" s="2">
        <f>MAX(120*16*Z6/SUM(Z:Z),0.75)</f>
        <v>63.981495244006794</v>
      </c>
      <c r="AB6" s="2">
        <f>AA6-F6</f>
        <v>49.271495244006793</v>
      </c>
    </row>
    <row r="7" spans="1:28" x14ac:dyDescent="0.25">
      <c r="A7" s="1">
        <v>1</v>
      </c>
      <c r="B7" s="1">
        <v>79</v>
      </c>
      <c r="C7" s="1" t="s">
        <v>42</v>
      </c>
      <c r="D7" s="1" t="s">
        <v>43</v>
      </c>
      <c r="E7" s="1">
        <v>24</v>
      </c>
      <c r="F7" s="1">
        <v>35</v>
      </c>
      <c r="G7" s="1">
        <v>2089</v>
      </c>
      <c r="H7" s="2">
        <v>25.241734320919001</v>
      </c>
      <c r="I7" s="2">
        <v>64.999943591323401</v>
      </c>
      <c r="J7" s="2">
        <v>68.2803417208696</v>
      </c>
      <c r="K7" s="2">
        <v>61.2649869898449</v>
      </c>
      <c r="L7" s="2">
        <v>64.480864441272004</v>
      </c>
      <c r="M7" s="2">
        <v>54.720842138149102</v>
      </c>
      <c r="N7" s="2">
        <v>54.061674932707298</v>
      </c>
      <c r="O7" s="2">
        <v>54.4583841373016</v>
      </c>
      <c r="P7" s="2">
        <v>56.411055088134901</v>
      </c>
      <c r="Q7" s="2">
        <v>64.3481196384637</v>
      </c>
      <c r="R7" s="2">
        <v>52.924499156039403</v>
      </c>
      <c r="S7" s="2">
        <v>50.234612363914003</v>
      </c>
      <c r="T7" s="2">
        <v>52.495476458055798</v>
      </c>
      <c r="U7" s="2">
        <v>57.927026698660498</v>
      </c>
      <c r="V7" s="2">
        <v>60.808156983900297</v>
      </c>
      <c r="W7" s="2">
        <v>59.012433050856004</v>
      </c>
      <c r="X7" s="2">
        <v>55.427992154854799</v>
      </c>
      <c r="Y7" s="2">
        <v>66.728838429640206</v>
      </c>
      <c r="Z7" s="2">
        <v>3.7590304047111398</v>
      </c>
      <c r="AA7" s="2">
        <f>MAX(120*16*Z7/SUM(Z:Z),0.75)</f>
        <v>53.689979156741259</v>
      </c>
      <c r="AB7" s="2">
        <f>AA7-F7</f>
        <v>18.689979156741259</v>
      </c>
    </row>
    <row r="8" spans="1:28" hidden="1" x14ac:dyDescent="0.25">
      <c r="A8" s="1">
        <v>1</v>
      </c>
      <c r="B8" s="1">
        <v>83</v>
      </c>
      <c r="C8" s="1" t="s">
        <v>45</v>
      </c>
      <c r="D8" s="1" t="s">
        <v>46</v>
      </c>
      <c r="E8" s="1">
        <v>24</v>
      </c>
      <c r="F8" s="1">
        <v>23.52</v>
      </c>
      <c r="G8" s="1">
        <v>2085</v>
      </c>
      <c r="H8" s="2">
        <v>25.506266856457898</v>
      </c>
      <c r="I8" s="2">
        <v>64.581120767156094</v>
      </c>
      <c r="J8" s="2">
        <v>67.781189441614202</v>
      </c>
      <c r="K8" s="2">
        <v>58.804340225751602</v>
      </c>
      <c r="L8" s="2">
        <v>65.189796224153397</v>
      </c>
      <c r="M8" s="2">
        <v>50.095815852562097</v>
      </c>
      <c r="N8" s="2">
        <v>48.882940015982399</v>
      </c>
      <c r="O8" s="2">
        <v>54.690562880831003</v>
      </c>
      <c r="P8" s="2">
        <v>58.312005543901698</v>
      </c>
      <c r="Q8" s="2">
        <v>65.174995005493898</v>
      </c>
      <c r="R8" s="2">
        <v>52.615308161022803</v>
      </c>
      <c r="S8" s="2">
        <v>52.383392018779297</v>
      </c>
      <c r="T8" s="2">
        <v>51.942708021176699</v>
      </c>
      <c r="U8" s="2">
        <v>61.005242982718997</v>
      </c>
      <c r="V8" s="2">
        <v>62.309488312855798</v>
      </c>
      <c r="W8" s="2">
        <v>60.048129557486703</v>
      </c>
      <c r="X8" s="2">
        <v>56.032148386774502</v>
      </c>
      <c r="Y8" s="2">
        <v>71.322380381580203</v>
      </c>
      <c r="Z8" s="2">
        <v>3.7427082342677198</v>
      </c>
      <c r="AA8" s="2">
        <f>MAX(120*16*Z8/SUM(Z:Z),0.75)</f>
        <v>53.456850691006672</v>
      </c>
      <c r="AB8" s="2">
        <f>AA8-F8</f>
        <v>29.936850691006672</v>
      </c>
    </row>
    <row r="9" spans="1:28" hidden="1" x14ac:dyDescent="0.25">
      <c r="A9" s="1">
        <v>1</v>
      </c>
      <c r="B9" s="1">
        <v>106</v>
      </c>
      <c r="C9" s="1" t="s">
        <v>44</v>
      </c>
      <c r="D9" s="1" t="s">
        <v>41</v>
      </c>
      <c r="E9" s="1">
        <v>32</v>
      </c>
      <c r="F9" s="1">
        <v>15.58</v>
      </c>
      <c r="G9" s="1">
        <v>2088</v>
      </c>
      <c r="H9" s="2">
        <v>29.410399370485301</v>
      </c>
      <c r="I9" s="2">
        <v>64.514535423463499</v>
      </c>
      <c r="J9" s="2">
        <v>65.022572345561102</v>
      </c>
      <c r="K9" s="2">
        <v>31.996966481879301</v>
      </c>
      <c r="L9" s="2">
        <v>58.2025401625067</v>
      </c>
      <c r="M9" s="2">
        <v>66.203464099095498</v>
      </c>
      <c r="N9" s="2">
        <v>61.185841224370698</v>
      </c>
      <c r="O9" s="2">
        <v>55.893061192010798</v>
      </c>
      <c r="P9" s="2">
        <v>48.626643855600598</v>
      </c>
      <c r="Q9" s="2">
        <v>51.234091933900899</v>
      </c>
      <c r="R9" s="2">
        <v>65.638085638754006</v>
      </c>
      <c r="S9" s="2">
        <v>66.345539906103198</v>
      </c>
      <c r="T9" s="2">
        <v>65.674865388185907</v>
      </c>
      <c r="U9" s="2">
        <v>61.9583972131596</v>
      </c>
      <c r="V9" s="2">
        <v>58.337522435302297</v>
      </c>
      <c r="W9" s="2">
        <v>75.117319611327702</v>
      </c>
      <c r="X9" s="2">
        <v>71.817171958303405</v>
      </c>
      <c r="Y9" s="2">
        <v>55.266657825168203</v>
      </c>
      <c r="Z9" s="2">
        <v>6.1640636943824498</v>
      </c>
      <c r="AA9" s="2">
        <f>MAX(120*16*Z9/SUM(Z:Z),0.75)</f>
        <v>88.040908330362598</v>
      </c>
      <c r="AB9" s="2">
        <f>AA9-F9</f>
        <v>72.460908330362599</v>
      </c>
    </row>
    <row r="10" spans="1:28" hidden="1" x14ac:dyDescent="0.25">
      <c r="A10" s="1">
        <v>1</v>
      </c>
      <c r="B10" s="1">
        <v>84</v>
      </c>
      <c r="C10" s="1" t="s">
        <v>48</v>
      </c>
      <c r="D10" s="1" t="s">
        <v>41</v>
      </c>
      <c r="E10" s="1">
        <v>26</v>
      </c>
      <c r="F10" s="1">
        <v>14.77</v>
      </c>
      <c r="G10" s="1">
        <v>2088</v>
      </c>
      <c r="H10" s="2">
        <v>26.286598752270301</v>
      </c>
      <c r="I10" s="2">
        <v>64.096446339729894</v>
      </c>
      <c r="J10" s="2">
        <v>66.455942509673804</v>
      </c>
      <c r="K10" s="2">
        <v>44.317547184711302</v>
      </c>
      <c r="L10" s="2">
        <v>61.301310905788498</v>
      </c>
      <c r="M10" s="2">
        <v>68.716836452657304</v>
      </c>
      <c r="N10" s="2">
        <v>64.656479507225697</v>
      </c>
      <c r="O10" s="2">
        <v>56.7790491984521</v>
      </c>
      <c r="P10" s="2">
        <v>49.464589749664299</v>
      </c>
      <c r="Q10" s="2">
        <v>63.413867172076102</v>
      </c>
      <c r="R10" s="2">
        <v>60.4386480296928</v>
      </c>
      <c r="S10" s="2">
        <v>59.049466950959399</v>
      </c>
      <c r="T10" s="2">
        <v>61.902716575850903</v>
      </c>
      <c r="U10" s="2">
        <v>57.441025033562298</v>
      </c>
      <c r="V10" s="2">
        <v>55.810155571349597</v>
      </c>
      <c r="W10" s="2">
        <v>61.032219853115301</v>
      </c>
      <c r="X10" s="2">
        <v>53.632125088841498</v>
      </c>
      <c r="Y10" s="2">
        <v>50.808931532812103</v>
      </c>
      <c r="Z10" s="2">
        <v>3.6348885599985001</v>
      </c>
      <c r="AA10" s="2">
        <f>MAX(120*16*Z10/SUM(Z:Z),0.75)</f>
        <v>51.91686951475814</v>
      </c>
      <c r="AB10" s="2">
        <f>AA10-F10</f>
        <v>37.146869514758137</v>
      </c>
    </row>
    <row r="11" spans="1:28" hidden="1" x14ac:dyDescent="0.25">
      <c r="A11" s="1">
        <v>1</v>
      </c>
      <c r="B11" s="1">
        <v>101</v>
      </c>
      <c r="C11" s="1" t="s">
        <v>47</v>
      </c>
      <c r="D11" s="1" t="s">
        <v>46</v>
      </c>
      <c r="E11" s="1">
        <v>27</v>
      </c>
      <c r="F11" s="1">
        <v>18.260000000000002</v>
      </c>
      <c r="G11" s="1">
        <v>2085</v>
      </c>
      <c r="H11" s="2">
        <v>26.551516013964701</v>
      </c>
      <c r="I11" s="2">
        <v>64.0718958712811</v>
      </c>
      <c r="J11" s="2">
        <v>66.049523755312606</v>
      </c>
      <c r="K11" s="2">
        <v>50.095444368548797</v>
      </c>
      <c r="L11" s="2">
        <v>60.969110503946503</v>
      </c>
      <c r="M11" s="2">
        <v>60.8133025956284</v>
      </c>
      <c r="N11" s="2">
        <v>55.606811627200898</v>
      </c>
      <c r="O11" s="2">
        <v>55.932170233758299</v>
      </c>
      <c r="P11" s="2">
        <v>52.8991746357012</v>
      </c>
      <c r="Q11" s="2">
        <v>63.087370977534903</v>
      </c>
      <c r="R11" s="2">
        <v>57.855574529447402</v>
      </c>
      <c r="S11" s="2">
        <v>54.756375227686704</v>
      </c>
      <c r="T11" s="2">
        <v>59.154574605343001</v>
      </c>
      <c r="U11" s="2">
        <v>60.486410898603502</v>
      </c>
      <c r="V11" s="2">
        <v>59.188568230115301</v>
      </c>
      <c r="W11" s="2">
        <v>60.087966757741299</v>
      </c>
      <c r="X11" s="2">
        <v>51.631559274438303</v>
      </c>
      <c r="Y11" s="2">
        <v>56.189530206435897</v>
      </c>
      <c r="Z11" s="2">
        <v>3.1260063260837199</v>
      </c>
      <c r="AA11" s="2">
        <f>MAX(120*16*Z11/SUM(Z:Z),0.75)</f>
        <v>44.648538697886224</v>
      </c>
      <c r="AB11" s="2">
        <f>AA11-F11</f>
        <v>26.388538697886222</v>
      </c>
    </row>
    <row r="12" spans="1:28" hidden="1" x14ac:dyDescent="0.25">
      <c r="A12" s="1">
        <v>1</v>
      </c>
      <c r="B12" s="1">
        <v>107</v>
      </c>
      <c r="C12" s="1" t="s">
        <v>49</v>
      </c>
      <c r="D12" s="1" t="s">
        <v>43</v>
      </c>
      <c r="E12" s="1">
        <v>31</v>
      </c>
      <c r="F12" s="1">
        <v>8.1199999999999992</v>
      </c>
      <c r="G12" s="1">
        <v>2086</v>
      </c>
      <c r="H12" s="2">
        <v>28.627849002849</v>
      </c>
      <c r="I12" s="2">
        <v>63.4257478632478</v>
      </c>
      <c r="J12" s="2">
        <v>64.049323361823298</v>
      </c>
      <c r="K12" s="2">
        <v>58.831908831908798</v>
      </c>
      <c r="L12" s="2">
        <v>65.2022792022792</v>
      </c>
      <c r="M12" s="2">
        <v>52.313924501424502</v>
      </c>
      <c r="N12" s="2">
        <v>49.566951566951502</v>
      </c>
      <c r="O12" s="2">
        <v>59.594017094016998</v>
      </c>
      <c r="P12" s="2">
        <v>64.274750712250693</v>
      </c>
      <c r="Q12" s="2">
        <v>68.653311965811895</v>
      </c>
      <c r="R12" s="2">
        <v>51.290242165242098</v>
      </c>
      <c r="S12" s="2">
        <v>51.755876068375997</v>
      </c>
      <c r="T12" s="2">
        <v>48.461894586894502</v>
      </c>
      <c r="U12" s="2">
        <v>56.637286324786302</v>
      </c>
      <c r="V12" s="2">
        <v>58.710113960113901</v>
      </c>
      <c r="W12" s="2">
        <v>57.798967236467199</v>
      </c>
      <c r="X12" s="2">
        <v>54.583689458689399</v>
      </c>
      <c r="Y12" s="2">
        <v>62.777243589743499</v>
      </c>
      <c r="Z12" s="2">
        <v>2.9695094366346102</v>
      </c>
      <c r="AA12" s="2">
        <f>MAX(120*16*Z12/SUM(Z:Z),0.75)</f>
        <v>42.413304121946901</v>
      </c>
      <c r="AB12" s="2">
        <f>AA12-F12</f>
        <v>34.293304121946903</v>
      </c>
    </row>
    <row r="13" spans="1:28" hidden="1" x14ac:dyDescent="0.25">
      <c r="A13" s="1">
        <v>1</v>
      </c>
      <c r="B13" s="1">
        <v>102</v>
      </c>
      <c r="C13" s="1" t="s">
        <v>52</v>
      </c>
      <c r="D13" s="1" t="s">
        <v>53</v>
      </c>
      <c r="E13" s="1">
        <v>27</v>
      </c>
      <c r="F13" s="1">
        <v>15.6199999999999</v>
      </c>
      <c r="G13" s="1">
        <v>2086</v>
      </c>
      <c r="H13" s="2">
        <v>26.734982798160001</v>
      </c>
      <c r="I13" s="2">
        <v>63.105373329049399</v>
      </c>
      <c r="J13" s="2">
        <v>64.853098853712197</v>
      </c>
      <c r="K13" s="2">
        <v>49.834450766979899</v>
      </c>
      <c r="L13" s="2">
        <v>58.298047212788497</v>
      </c>
      <c r="M13" s="2">
        <v>65.8915845961439</v>
      </c>
      <c r="N13" s="2">
        <v>60.671327581979803</v>
      </c>
      <c r="O13" s="2">
        <v>55.504974681830099</v>
      </c>
      <c r="P13" s="2">
        <v>47.201329237109199</v>
      </c>
      <c r="Q13" s="2">
        <v>62.323764560934798</v>
      </c>
      <c r="R13" s="2">
        <v>55.850868411898801</v>
      </c>
      <c r="S13" s="2">
        <v>54.255992763455403</v>
      </c>
      <c r="T13" s="2">
        <v>59.291775422832401</v>
      </c>
      <c r="U13" s="2">
        <v>56.212030932333498</v>
      </c>
      <c r="V13" s="2">
        <v>55.286751618176602</v>
      </c>
      <c r="W13" s="2">
        <v>59.681382272058997</v>
      </c>
      <c r="X13" s="2">
        <v>51.204108438416299</v>
      </c>
      <c r="Y13" s="2">
        <v>52.1837760140765</v>
      </c>
      <c r="Z13" s="2">
        <v>2.78985753873802</v>
      </c>
      <c r="AA13" s="2">
        <f>MAX(120*16*Z13/SUM(Z:Z),0.75)</f>
        <v>39.847348113331392</v>
      </c>
      <c r="AB13" s="2">
        <f>AA13-F13</f>
        <v>24.227348113331495</v>
      </c>
    </row>
    <row r="14" spans="1:28" hidden="1" x14ac:dyDescent="0.25">
      <c r="A14" s="1">
        <v>1</v>
      </c>
      <c r="B14" s="1">
        <v>87</v>
      </c>
      <c r="C14" s="1" t="s">
        <v>50</v>
      </c>
      <c r="D14" s="1" t="s">
        <v>35</v>
      </c>
      <c r="E14" s="1">
        <v>31</v>
      </c>
      <c r="F14" s="1">
        <v>16.399999999999999</v>
      </c>
      <c r="G14" s="1">
        <v>2089</v>
      </c>
      <c r="H14" s="2">
        <v>28.2340648307515</v>
      </c>
      <c r="I14" s="2">
        <v>63.072991967871403</v>
      </c>
      <c r="J14" s="2">
        <v>64.082993880282999</v>
      </c>
      <c r="K14" s="2">
        <v>27.386326257410499</v>
      </c>
      <c r="L14" s="2">
        <v>55.490743928093302</v>
      </c>
      <c r="M14" s="2">
        <v>69.0945926563396</v>
      </c>
      <c r="N14" s="2">
        <v>64.407702237521505</v>
      </c>
      <c r="O14" s="2">
        <v>56.461536622681201</v>
      </c>
      <c r="P14" s="2">
        <v>47.410221839739897</v>
      </c>
      <c r="Q14" s="2">
        <v>44.914218779881402</v>
      </c>
      <c r="R14" s="2">
        <v>60.756669535283997</v>
      </c>
      <c r="S14" s="2">
        <v>61.617383820998199</v>
      </c>
      <c r="T14" s="2">
        <v>61.963836297571198</v>
      </c>
      <c r="U14" s="2">
        <v>57.8635494358385</v>
      </c>
      <c r="V14" s="2">
        <v>57.399942627653402</v>
      </c>
      <c r="W14" s="2">
        <v>76.526845477146693</v>
      </c>
      <c r="X14" s="2">
        <v>79.044081086249705</v>
      </c>
      <c r="Y14" s="2">
        <v>55.779436794798201</v>
      </c>
      <c r="Z14" s="2">
        <v>5.0375769415759297</v>
      </c>
      <c r="AA14" s="2">
        <f>MAX(120*16*Z14/SUM(Z:Z),0.75)</f>
        <v>71.951373592168622</v>
      </c>
      <c r="AB14" s="2">
        <f>AA14-F14</f>
        <v>55.551373592168623</v>
      </c>
    </row>
    <row r="15" spans="1:28" hidden="1" x14ac:dyDescent="0.25">
      <c r="A15" s="1">
        <v>1</v>
      </c>
      <c r="B15" s="1">
        <v>99</v>
      </c>
      <c r="C15" s="1" t="s">
        <v>56</v>
      </c>
      <c r="D15" s="1" t="s">
        <v>41</v>
      </c>
      <c r="E15" s="1">
        <v>28</v>
      </c>
      <c r="F15" s="1">
        <v>22.43</v>
      </c>
      <c r="G15" s="1">
        <v>2089</v>
      </c>
      <c r="H15" s="2">
        <v>27.046195892714799</v>
      </c>
      <c r="I15" s="2">
        <v>62.718230257787198</v>
      </c>
      <c r="J15" s="2">
        <v>64.102131342637605</v>
      </c>
      <c r="K15" s="2">
        <v>39.481955632271998</v>
      </c>
      <c r="L15" s="2">
        <v>54.118536878030497</v>
      </c>
      <c r="M15" s="2">
        <v>62.332128490356297</v>
      </c>
      <c r="N15" s="2">
        <v>61.181662044003801</v>
      </c>
      <c r="O15" s="2">
        <v>56.183820925909501</v>
      </c>
      <c r="P15" s="2">
        <v>45.212530612846997</v>
      </c>
      <c r="Q15" s="2">
        <v>49.861315196758198</v>
      </c>
      <c r="R15" s="2">
        <v>59.2950242443913</v>
      </c>
      <c r="S15" s="2">
        <v>59.086665092994203</v>
      </c>
      <c r="T15" s="2">
        <v>59.279749786078902</v>
      </c>
      <c r="U15" s="2">
        <v>59.892632508138803</v>
      </c>
      <c r="V15" s="2">
        <v>56.144518456227303</v>
      </c>
      <c r="W15" s="2">
        <v>71.675667335477399</v>
      </c>
      <c r="X15" s="2">
        <v>66.6510381320508</v>
      </c>
      <c r="Y15" s="2">
        <v>55.237260629665599</v>
      </c>
      <c r="Z15" s="2">
        <v>4.9793949538976596</v>
      </c>
      <c r="AA15" s="2">
        <f>MAX(120*16*Z15/SUM(Z:Z),0.75)</f>
        <v>71.120364164357383</v>
      </c>
      <c r="AB15" s="2">
        <f>AA15-F15</f>
        <v>48.690364164357383</v>
      </c>
    </row>
    <row r="16" spans="1:28" hidden="1" x14ac:dyDescent="0.25">
      <c r="A16" s="1">
        <v>1</v>
      </c>
      <c r="B16" s="1">
        <v>90</v>
      </c>
      <c r="C16" s="1" t="s">
        <v>57</v>
      </c>
      <c r="D16" s="1" t="s">
        <v>46</v>
      </c>
      <c r="E16" s="1">
        <v>25</v>
      </c>
      <c r="F16" s="1">
        <v>20.5</v>
      </c>
      <c r="G16" s="1">
        <v>2087</v>
      </c>
      <c r="H16" s="2">
        <v>26.008842829044099</v>
      </c>
      <c r="I16" s="2">
        <v>62.707203186724101</v>
      </c>
      <c r="J16" s="2">
        <v>65.487259163760299</v>
      </c>
      <c r="K16" s="2">
        <v>52.704641245599198</v>
      </c>
      <c r="L16" s="2">
        <v>61.297835297488199</v>
      </c>
      <c r="M16" s="2">
        <v>57.092491584161102</v>
      </c>
      <c r="N16" s="2">
        <v>55.143826823799003</v>
      </c>
      <c r="O16" s="2">
        <v>54.015592028781803</v>
      </c>
      <c r="P16" s="2">
        <v>49.998573026341099</v>
      </c>
      <c r="Q16" s="2">
        <v>59.022335718968797</v>
      </c>
      <c r="R16" s="2">
        <v>48.651881787077897</v>
      </c>
      <c r="S16" s="2">
        <v>48.464609400395503</v>
      </c>
      <c r="T16" s="2">
        <v>49.587274039547502</v>
      </c>
      <c r="U16" s="2">
        <v>57.242378913847098</v>
      </c>
      <c r="V16" s="2">
        <v>58.942557423293202</v>
      </c>
      <c r="W16" s="2">
        <v>61.690801253973703</v>
      </c>
      <c r="X16" s="2">
        <v>59.336388379255403</v>
      </c>
      <c r="Y16" s="2">
        <v>63.1506641763497</v>
      </c>
      <c r="Z16" s="2">
        <v>3.7641758298791901</v>
      </c>
      <c r="AA16" s="2">
        <f>MAX(120*16*Z16/SUM(Z:Z),0.75)</f>
        <v>53.763470919318905</v>
      </c>
      <c r="AB16" s="2">
        <f>AA16-F16</f>
        <v>33.263470919318905</v>
      </c>
    </row>
    <row r="17" spans="1:28" hidden="1" x14ac:dyDescent="0.25">
      <c r="A17" s="1">
        <v>1</v>
      </c>
      <c r="B17" s="1">
        <v>95</v>
      </c>
      <c r="C17" s="1" t="s">
        <v>51</v>
      </c>
      <c r="D17" s="1" t="s">
        <v>43</v>
      </c>
      <c r="E17" s="1">
        <v>32</v>
      </c>
      <c r="F17" s="1">
        <v>24.82</v>
      </c>
      <c r="G17" s="1">
        <v>2089</v>
      </c>
      <c r="H17" s="2">
        <v>29.405498616156301</v>
      </c>
      <c r="I17" s="2">
        <v>62.662850285417697</v>
      </c>
      <c r="J17" s="2">
        <v>63.0036920515481</v>
      </c>
      <c r="K17" s="2">
        <v>58.6803591506659</v>
      </c>
      <c r="L17" s="2">
        <v>65.406271622556602</v>
      </c>
      <c r="M17" s="2">
        <v>46.136373464798403</v>
      </c>
      <c r="N17" s="2">
        <v>42.608626318975901</v>
      </c>
      <c r="O17" s="2">
        <v>54.244848425877798</v>
      </c>
      <c r="P17" s="2">
        <v>63.1963165974744</v>
      </c>
      <c r="Q17" s="2">
        <v>62.698219382459698</v>
      </c>
      <c r="R17" s="2">
        <v>45.8303115810413</v>
      </c>
      <c r="S17" s="2">
        <v>44.950824900536198</v>
      </c>
      <c r="T17" s="2">
        <v>46.085419910050099</v>
      </c>
      <c r="U17" s="2">
        <v>57.894714366026598</v>
      </c>
      <c r="V17" s="2">
        <v>62.228615291472003</v>
      </c>
      <c r="W17" s="2">
        <v>60.080679164504403</v>
      </c>
      <c r="X17" s="2">
        <v>61.658704160179902</v>
      </c>
      <c r="Y17" s="2">
        <v>71.506075938418903</v>
      </c>
      <c r="Z17" s="2">
        <v>3.84527522622004</v>
      </c>
      <c r="AA17" s="2">
        <f>MAX(120*16*Z17/SUM(Z:Z),0.75)</f>
        <v>54.921808158014144</v>
      </c>
      <c r="AB17" s="2">
        <f>AA17-F17</f>
        <v>30.101808158014144</v>
      </c>
    </row>
    <row r="18" spans="1:28" hidden="1" x14ac:dyDescent="0.25">
      <c r="A18" s="1">
        <v>1</v>
      </c>
      <c r="B18" s="1">
        <v>91</v>
      </c>
      <c r="C18" s="1" t="s">
        <v>54</v>
      </c>
      <c r="D18" s="1" t="s">
        <v>55</v>
      </c>
      <c r="E18" s="1">
        <v>27</v>
      </c>
      <c r="F18" s="1">
        <v>23.52</v>
      </c>
      <c r="G18" s="1">
        <v>2089</v>
      </c>
      <c r="H18" s="2">
        <v>26.544522144522102</v>
      </c>
      <c r="I18" s="2">
        <v>62.501398601398598</v>
      </c>
      <c r="J18" s="2">
        <v>64.3925407925407</v>
      </c>
      <c r="K18" s="2">
        <v>53.993589743589702</v>
      </c>
      <c r="L18" s="2">
        <v>60.9628205128205</v>
      </c>
      <c r="M18" s="2">
        <v>56.765501165501099</v>
      </c>
      <c r="N18" s="2">
        <v>54.9984848484848</v>
      </c>
      <c r="O18" s="2">
        <v>59.4462703962703</v>
      </c>
      <c r="P18" s="2">
        <v>63.865151515151503</v>
      </c>
      <c r="Q18" s="2">
        <v>64.649650349650301</v>
      </c>
      <c r="R18" s="2">
        <v>53.772377622377597</v>
      </c>
      <c r="S18" s="2">
        <v>52.767482517482499</v>
      </c>
      <c r="T18" s="2">
        <v>57.179487179487097</v>
      </c>
      <c r="U18" s="2">
        <v>52.742657342657303</v>
      </c>
      <c r="V18" s="2">
        <v>58.003962703962699</v>
      </c>
      <c r="W18" s="2">
        <v>55.219114219114203</v>
      </c>
      <c r="X18" s="2">
        <v>51.5065268065268</v>
      </c>
      <c r="Y18" s="2">
        <v>56.978321678321599</v>
      </c>
      <c r="Z18" s="2">
        <v>1.9332184664763199</v>
      </c>
      <c r="AA18" s="2">
        <f>MAX(120*16*Z18/SUM(Z:Z),0.75)</f>
        <v>27.612029697992543</v>
      </c>
      <c r="AB18" s="2">
        <f>AA18-F18</f>
        <v>4.0920296979925439</v>
      </c>
    </row>
    <row r="19" spans="1:28" hidden="1" x14ac:dyDescent="0.25">
      <c r="A19" s="1">
        <v>1</v>
      </c>
      <c r="B19" s="1">
        <v>109</v>
      </c>
      <c r="C19" s="1" t="s">
        <v>58</v>
      </c>
      <c r="D19" s="1" t="s">
        <v>53</v>
      </c>
      <c r="E19" s="1">
        <v>29</v>
      </c>
      <c r="F19" s="1">
        <v>24.73</v>
      </c>
      <c r="G19" s="1">
        <v>2087</v>
      </c>
      <c r="H19" s="2">
        <v>28.210582010582002</v>
      </c>
      <c r="I19" s="2">
        <v>62.374867724867698</v>
      </c>
      <c r="J19" s="2">
        <v>63.151322751322702</v>
      </c>
      <c r="K19" s="2">
        <v>52.674603174603099</v>
      </c>
      <c r="L19" s="2">
        <v>57.6730158730158</v>
      </c>
      <c r="M19" s="2">
        <v>52.6415343915344</v>
      </c>
      <c r="N19" s="2">
        <v>49.293121693121599</v>
      </c>
      <c r="O19" s="2">
        <v>51.271957671957601</v>
      </c>
      <c r="P19" s="2">
        <v>50.239682539682498</v>
      </c>
      <c r="Q19" s="2">
        <v>59.125396825396798</v>
      </c>
      <c r="R19" s="2">
        <v>55.139153439153397</v>
      </c>
      <c r="S19" s="2">
        <v>53.300793650793601</v>
      </c>
      <c r="T19" s="2">
        <v>57.882275132275097</v>
      </c>
      <c r="U19" s="2">
        <v>61.230952380952303</v>
      </c>
      <c r="V19" s="2">
        <v>56.674338624338603</v>
      </c>
      <c r="W19" s="2">
        <v>63.613492063491996</v>
      </c>
      <c r="X19" s="2">
        <v>58.687301587301498</v>
      </c>
      <c r="Y19" s="2">
        <v>60.9235449735449</v>
      </c>
      <c r="Z19" s="2">
        <v>3.3484657561977298</v>
      </c>
      <c r="AA19" s="2">
        <f>MAX(120*16*Z19/SUM(Z:Z),0.75)</f>
        <v>47.825911818112303</v>
      </c>
      <c r="AB19" s="2">
        <f>AA19-F19</f>
        <v>23.095911818112302</v>
      </c>
    </row>
    <row r="20" spans="1:28" hidden="1" x14ac:dyDescent="0.25">
      <c r="A20" s="1">
        <v>1</v>
      </c>
      <c r="B20" s="1">
        <v>92</v>
      </c>
      <c r="C20" s="1" t="s">
        <v>61</v>
      </c>
      <c r="D20" s="1" t="s">
        <v>43</v>
      </c>
      <c r="E20" s="1">
        <v>27</v>
      </c>
      <c r="F20" s="1">
        <v>34.76</v>
      </c>
      <c r="G20" s="1">
        <v>2088</v>
      </c>
      <c r="H20" s="2">
        <v>26.303146090549699</v>
      </c>
      <c r="I20" s="2">
        <v>62.237499790515997</v>
      </c>
      <c r="J20" s="2">
        <v>64.320441089508293</v>
      </c>
      <c r="K20" s="2">
        <v>62.700124253937702</v>
      </c>
      <c r="L20" s="2">
        <v>65.735697031073002</v>
      </c>
      <c r="M20" s="2">
        <v>52.5080118651737</v>
      </c>
      <c r="N20" s="2">
        <v>51.995957557344703</v>
      </c>
      <c r="O20" s="2">
        <v>53.434113092630199</v>
      </c>
      <c r="P20" s="2">
        <v>61.418918918918898</v>
      </c>
      <c r="Q20" s="2">
        <v>64.167783515644203</v>
      </c>
      <c r="R20" s="2">
        <v>49.818329490798199</v>
      </c>
      <c r="S20" s="2">
        <v>46.884021278786001</v>
      </c>
      <c r="T20" s="2">
        <v>48.948329275329002</v>
      </c>
      <c r="U20" s="2">
        <v>51.657913826662103</v>
      </c>
      <c r="V20" s="2">
        <v>57.959076403004097</v>
      </c>
      <c r="W20" s="2">
        <v>53.613506810025498</v>
      </c>
      <c r="X20" s="2">
        <v>52.666855800791403</v>
      </c>
      <c r="Y20" s="2">
        <v>61.914525740196702</v>
      </c>
      <c r="Z20" s="2">
        <v>1.8767329644028401</v>
      </c>
      <c r="AA20" s="2">
        <f>MAX(120*16*Z20/SUM(Z:Z),0.75)</f>
        <v>26.805251060293216</v>
      </c>
      <c r="AB20" s="2">
        <f>AA20-F20</f>
        <v>-7.9547489397067821</v>
      </c>
    </row>
    <row r="21" spans="1:28" hidden="1" x14ac:dyDescent="0.25">
      <c r="A21" s="1">
        <v>1</v>
      </c>
      <c r="B21" s="1">
        <v>85</v>
      </c>
      <c r="C21" s="1" t="s">
        <v>59</v>
      </c>
      <c r="D21" s="1" t="s">
        <v>60</v>
      </c>
      <c r="E21" s="1">
        <v>25</v>
      </c>
      <c r="F21" s="1">
        <v>21.13</v>
      </c>
      <c r="G21" s="1">
        <v>2089</v>
      </c>
      <c r="H21" s="2">
        <v>25.694358974358899</v>
      </c>
      <c r="I21" s="2">
        <v>61.9823076923076</v>
      </c>
      <c r="J21" s="2">
        <v>65.077264957264902</v>
      </c>
      <c r="K21" s="2">
        <v>68.568717948717904</v>
      </c>
      <c r="L21" s="2">
        <v>62.57</v>
      </c>
      <c r="M21" s="2">
        <v>51.424615384615301</v>
      </c>
      <c r="N21" s="2">
        <v>49.934957264957198</v>
      </c>
      <c r="O21" s="2">
        <v>52.274358974358897</v>
      </c>
      <c r="P21" s="2">
        <v>55.208034188034098</v>
      </c>
      <c r="Q21" s="2">
        <v>60.9837606837606</v>
      </c>
      <c r="R21" s="2">
        <v>39.928290598290602</v>
      </c>
      <c r="S21" s="2">
        <v>42.888547008547</v>
      </c>
      <c r="T21" s="2">
        <v>38.839230769230703</v>
      </c>
      <c r="U21" s="2">
        <v>55.247350427350398</v>
      </c>
      <c r="V21" s="2">
        <v>57.5443589743589</v>
      </c>
      <c r="W21" s="2">
        <v>54.370512820512801</v>
      </c>
      <c r="X21" s="2">
        <v>53.251196581196503</v>
      </c>
      <c r="Y21" s="2">
        <v>67.126239316239307</v>
      </c>
      <c r="Z21" s="2">
        <v>3.1284050129672099</v>
      </c>
      <c r="AA21" s="2">
        <f>MAX(120*16*Z21/SUM(Z:Z),0.75)</f>
        <v>44.682798981766005</v>
      </c>
      <c r="AB21" s="2">
        <f>AA21-F21</f>
        <v>23.552798981766006</v>
      </c>
    </row>
    <row r="22" spans="1:28" hidden="1" x14ac:dyDescent="0.25">
      <c r="A22" s="1">
        <v>1</v>
      </c>
      <c r="B22" s="1">
        <v>110</v>
      </c>
      <c r="C22" s="1" t="s">
        <v>62</v>
      </c>
      <c r="D22" s="1" t="s">
        <v>41</v>
      </c>
      <c r="E22" s="1">
        <v>29</v>
      </c>
      <c r="F22" s="1">
        <v>10.48</v>
      </c>
      <c r="G22" s="1">
        <v>2085</v>
      </c>
      <c r="H22" s="2">
        <v>27.268467656635899</v>
      </c>
      <c r="I22" s="2">
        <v>61.339580557233198</v>
      </c>
      <c r="J22" s="2">
        <v>63.008176247340998</v>
      </c>
      <c r="K22" s="2">
        <v>28.337023083305901</v>
      </c>
      <c r="L22" s="2">
        <v>54.024720472679903</v>
      </c>
      <c r="M22" s="2">
        <v>64.296674431758206</v>
      </c>
      <c r="N22" s="2">
        <v>62.513782771296199</v>
      </c>
      <c r="O22" s="2">
        <v>53.140648283957297</v>
      </c>
      <c r="P22" s="2">
        <v>46.185162816608504</v>
      </c>
      <c r="Q22" s="2">
        <v>43.719177432875597</v>
      </c>
      <c r="R22" s="2">
        <v>64.304736705875499</v>
      </c>
      <c r="S22" s="2">
        <v>64.457814462243405</v>
      </c>
      <c r="T22" s="2">
        <v>65.532601135258503</v>
      </c>
      <c r="U22" s="2">
        <v>58.127133402995398</v>
      </c>
      <c r="V22" s="2">
        <v>53.447679366692299</v>
      </c>
      <c r="W22" s="2">
        <v>75.508538937833407</v>
      </c>
      <c r="X22" s="2">
        <v>76.303889895474796</v>
      </c>
      <c r="Y22" s="2">
        <v>53.813066870327198</v>
      </c>
      <c r="Z22" s="2">
        <v>4.6390602162003303</v>
      </c>
      <c r="AA22" s="2">
        <f>MAX(120*16*Z22/SUM(Z:Z),0.75)</f>
        <v>66.259385931676974</v>
      </c>
      <c r="AB22" s="2">
        <f>AA22-F22</f>
        <v>55.77938593167697</v>
      </c>
    </row>
    <row r="23" spans="1:28" hidden="1" x14ac:dyDescent="0.25">
      <c r="A23" s="1">
        <v>1</v>
      </c>
      <c r="B23" s="1">
        <v>3</v>
      </c>
      <c r="C23" s="1" t="s">
        <v>66</v>
      </c>
      <c r="D23" s="1" t="s">
        <v>60</v>
      </c>
      <c r="E23" s="1">
        <v>24</v>
      </c>
      <c r="F23" s="1">
        <v>1.27</v>
      </c>
      <c r="G23" s="1">
        <v>2086</v>
      </c>
      <c r="H23" s="2">
        <v>24.543156992686001</v>
      </c>
      <c r="I23" s="2">
        <v>61.262849915741</v>
      </c>
      <c r="J23" s="2">
        <v>65.637516642141406</v>
      </c>
      <c r="K23" s="2">
        <v>59.341481233867597</v>
      </c>
      <c r="L23" s="2">
        <v>62.180764384036799</v>
      </c>
      <c r="M23" s="2">
        <v>56.511446461986999</v>
      </c>
      <c r="N23" s="2">
        <v>55.992850340769003</v>
      </c>
      <c r="O23" s="2">
        <v>49.798269102421301</v>
      </c>
      <c r="P23" s="2">
        <v>52.391725280317402</v>
      </c>
      <c r="Q23" s="2">
        <v>60.491728611617503</v>
      </c>
      <c r="R23" s="2">
        <v>50.0215259422122</v>
      </c>
      <c r="S23" s="2">
        <v>47.056045103505703</v>
      </c>
      <c r="T23" s="2">
        <v>49.445063989679802</v>
      </c>
      <c r="U23" s="2">
        <v>51.248316257548503</v>
      </c>
      <c r="V23" s="2">
        <v>56.0296336374006</v>
      </c>
      <c r="W23" s="2">
        <v>55.505973940043397</v>
      </c>
      <c r="X23" s="2">
        <v>52.667825729353602</v>
      </c>
      <c r="Y23" s="2">
        <v>59.7321439443282</v>
      </c>
      <c r="Z23" s="2">
        <v>1.87732712409334</v>
      </c>
      <c r="AA23" s="2">
        <f>MAX(120*16*Z23/SUM(Z:Z),0.75)</f>
        <v>26.813737403303033</v>
      </c>
      <c r="AB23" s="2">
        <f>AA23-F23</f>
        <v>25.543737403303034</v>
      </c>
    </row>
    <row r="24" spans="1:28" hidden="1" x14ac:dyDescent="0.25">
      <c r="A24" s="1">
        <v>1</v>
      </c>
      <c r="B24" s="1">
        <v>2</v>
      </c>
      <c r="C24" s="1" t="s">
        <v>67</v>
      </c>
      <c r="D24" s="1" t="s">
        <v>60</v>
      </c>
      <c r="E24" s="1">
        <v>23</v>
      </c>
      <c r="F24" s="1">
        <v>5.44</v>
      </c>
      <c r="G24" s="1">
        <v>2086</v>
      </c>
      <c r="H24" s="2">
        <v>24.5597014925373</v>
      </c>
      <c r="I24" s="2">
        <v>61.125148069177897</v>
      </c>
      <c r="J24" s="2">
        <v>65.280087656953299</v>
      </c>
      <c r="K24" s="2">
        <v>62.021499644633899</v>
      </c>
      <c r="L24" s="2">
        <v>62.203210139777298</v>
      </c>
      <c r="M24" s="2">
        <v>56.802534944325899</v>
      </c>
      <c r="N24" s="2">
        <v>56.534707415304403</v>
      </c>
      <c r="O24" s="2">
        <v>50.874851930821997</v>
      </c>
      <c r="P24" s="2">
        <v>54.416903577351299</v>
      </c>
      <c r="Q24" s="2">
        <v>60.876628760957097</v>
      </c>
      <c r="R24" s="2">
        <v>48.119166074389902</v>
      </c>
      <c r="S24" s="2">
        <v>45.4379294006159</v>
      </c>
      <c r="T24" s="2">
        <v>47.346185737976697</v>
      </c>
      <c r="U24" s="2">
        <v>50.211798152096598</v>
      </c>
      <c r="V24" s="2">
        <v>55.551942667614298</v>
      </c>
      <c r="W24" s="2">
        <v>53.334044065387303</v>
      </c>
      <c r="X24" s="2">
        <v>50.877754086709302</v>
      </c>
      <c r="Y24" s="2">
        <v>57.456823027718499</v>
      </c>
      <c r="Z24" s="2">
        <v>1.78635606778157</v>
      </c>
      <c r="AA24" s="2">
        <f>MAX(120*16*Z24/SUM(Z:Z),0.75)</f>
        <v>25.514403907323775</v>
      </c>
      <c r="AB24" s="2">
        <f>AA24-F24</f>
        <v>20.074403907323774</v>
      </c>
    </row>
    <row r="25" spans="1:28" hidden="1" x14ac:dyDescent="0.25">
      <c r="A25" s="1">
        <v>1</v>
      </c>
      <c r="B25" s="1">
        <v>93</v>
      </c>
      <c r="C25" s="1" t="s">
        <v>65</v>
      </c>
      <c r="D25" s="1" t="s">
        <v>60</v>
      </c>
      <c r="E25" s="1">
        <v>25</v>
      </c>
      <c r="F25" s="1">
        <v>33.520000000000003</v>
      </c>
      <c r="G25" s="1">
        <v>2089</v>
      </c>
      <c r="H25" s="2">
        <v>25.7015196855013</v>
      </c>
      <c r="I25" s="2">
        <v>61.106387764282402</v>
      </c>
      <c r="J25" s="2">
        <v>64.175389700561297</v>
      </c>
      <c r="K25" s="2">
        <v>63.7476774433296</v>
      </c>
      <c r="L25" s="2">
        <v>62.5107473253926</v>
      </c>
      <c r="M25" s="2">
        <v>48.208120636038203</v>
      </c>
      <c r="N25" s="2">
        <v>47.551252713724097</v>
      </c>
      <c r="O25" s="2">
        <v>51.626386199612703</v>
      </c>
      <c r="P25" s="2">
        <v>54.691202644291799</v>
      </c>
      <c r="Q25" s="2">
        <v>59.7868821999256</v>
      </c>
      <c r="R25" s="2">
        <v>44.742298891040299</v>
      </c>
      <c r="S25" s="2">
        <v>44.142639206712403</v>
      </c>
      <c r="T25" s="2">
        <v>44.473371276574902</v>
      </c>
      <c r="U25" s="2">
        <v>54.054626532887397</v>
      </c>
      <c r="V25" s="2">
        <v>59.057394042519803</v>
      </c>
      <c r="W25" s="2">
        <v>54.814723542412302</v>
      </c>
      <c r="X25" s="2">
        <v>54.139294725107</v>
      </c>
      <c r="Y25" s="2">
        <v>70.063594046431504</v>
      </c>
      <c r="Z25" s="2">
        <v>2.27909114580223</v>
      </c>
      <c r="AA25" s="2">
        <f>MAX(120*16*Z25/SUM(Z:Z),0.75)</f>
        <v>32.552105979530722</v>
      </c>
      <c r="AB25" s="2">
        <f>AA25-F25</f>
        <v>-0.96789402046928075</v>
      </c>
    </row>
    <row r="26" spans="1:28" hidden="1" x14ac:dyDescent="0.25">
      <c r="A26" s="1">
        <v>1</v>
      </c>
      <c r="B26" s="1">
        <v>97</v>
      </c>
      <c r="C26" s="1" t="s">
        <v>64</v>
      </c>
      <c r="D26" s="1" t="s">
        <v>41</v>
      </c>
      <c r="E26" s="1">
        <v>27</v>
      </c>
      <c r="F26" s="1">
        <v>25.91</v>
      </c>
      <c r="G26" s="1">
        <v>2086</v>
      </c>
      <c r="H26" s="2">
        <v>26.178023492460198</v>
      </c>
      <c r="I26" s="2">
        <v>60.9928801499927</v>
      </c>
      <c r="J26" s="2">
        <v>63.672998093040398</v>
      </c>
      <c r="K26" s="2">
        <v>45.1409627742255</v>
      </c>
      <c r="L26" s="2">
        <v>55.760713427238997</v>
      </c>
      <c r="M26" s="2">
        <v>62.757545310321603</v>
      </c>
      <c r="N26" s="2">
        <v>60.889434802813902</v>
      </c>
      <c r="O26" s="2">
        <v>51.780457670304301</v>
      </c>
      <c r="P26" s="2">
        <v>45.465264490489197</v>
      </c>
      <c r="Q26" s="2">
        <v>59.013196480938397</v>
      </c>
      <c r="R26" s="2">
        <v>58.593420188131901</v>
      </c>
      <c r="S26" s="2">
        <v>55.495279073121402</v>
      </c>
      <c r="T26" s="2">
        <v>61.907094210214197</v>
      </c>
      <c r="U26" s="2">
        <v>55.870732176337597</v>
      </c>
      <c r="V26" s="2">
        <v>53.177624473182298</v>
      </c>
      <c r="W26" s="2">
        <v>60.372390750444602</v>
      </c>
      <c r="X26" s="2">
        <v>54.066693908946597</v>
      </c>
      <c r="Y26" s="2">
        <v>50.175647004150399</v>
      </c>
      <c r="Z26" s="2">
        <v>2.5673059775780001</v>
      </c>
      <c r="AA26" s="2">
        <f>MAX(120*16*Z26/SUM(Z:Z),0.75)</f>
        <v>36.668659091554268</v>
      </c>
      <c r="AB26" s="2">
        <f>AA26-F26</f>
        <v>10.758659091554268</v>
      </c>
    </row>
    <row r="27" spans="1:28" hidden="1" x14ac:dyDescent="0.25">
      <c r="A27" s="1">
        <v>1</v>
      </c>
      <c r="B27" s="1">
        <v>112</v>
      </c>
      <c r="C27" s="1" t="s">
        <v>63</v>
      </c>
      <c r="D27" s="1" t="s">
        <v>53</v>
      </c>
      <c r="E27" s="1">
        <v>31</v>
      </c>
      <c r="F27" s="1">
        <v>4.66</v>
      </c>
      <c r="G27" s="1">
        <v>2088</v>
      </c>
      <c r="H27" s="2">
        <v>29.848133204160501</v>
      </c>
      <c r="I27" s="2">
        <v>60.9776129996131</v>
      </c>
      <c r="J27" s="2">
        <v>61.325296109792099</v>
      </c>
      <c r="K27" s="2">
        <v>43.8857861385248</v>
      </c>
      <c r="L27" s="2">
        <v>60.146831776043598</v>
      </c>
      <c r="M27" s="2">
        <v>58.962725594082599</v>
      </c>
      <c r="N27" s="2">
        <v>51.294279252264303</v>
      </c>
      <c r="O27" s="2">
        <v>52.448576319023701</v>
      </c>
      <c r="P27" s="2">
        <v>53.731935025592001</v>
      </c>
      <c r="Q27" s="2">
        <v>63.796836685084401</v>
      </c>
      <c r="R27" s="2">
        <v>66.433914256209306</v>
      </c>
      <c r="S27" s="2">
        <v>69.199406420079001</v>
      </c>
      <c r="T27" s="2">
        <v>68.197118688777394</v>
      </c>
      <c r="U27" s="2">
        <v>51.263400794200003</v>
      </c>
      <c r="V27" s="2">
        <v>55.184656231110502</v>
      </c>
      <c r="W27" s="2">
        <v>59.922332468632398</v>
      </c>
      <c r="X27" s="2">
        <v>54.180675176459303</v>
      </c>
      <c r="Y27" s="2">
        <v>52.4316176531472</v>
      </c>
      <c r="Z27" s="2">
        <v>2.0961660922719698</v>
      </c>
      <c r="AA27" s="2">
        <f>MAX(120*16*Z27/SUM(Z:Z),0.75)</f>
        <v>29.939399708526203</v>
      </c>
      <c r="AB27" s="2">
        <f>AA27-F27</f>
        <v>25.279399708526203</v>
      </c>
    </row>
    <row r="28" spans="1:28" x14ac:dyDescent="0.25">
      <c r="A28" s="1">
        <v>1</v>
      </c>
      <c r="B28" s="1">
        <v>88</v>
      </c>
      <c r="C28" s="1" t="s">
        <v>68</v>
      </c>
      <c r="D28" s="1" t="s">
        <v>55</v>
      </c>
      <c r="E28" s="1">
        <v>25</v>
      </c>
      <c r="F28" s="1">
        <v>17.36</v>
      </c>
      <c r="G28" s="1">
        <v>2088</v>
      </c>
      <c r="H28" s="2">
        <v>24.8668610130598</v>
      </c>
      <c r="I28" s="2">
        <v>60.898361812104497</v>
      </c>
      <c r="J28" s="2">
        <v>65.053885757102094</v>
      </c>
      <c r="K28" s="2">
        <v>53.0007639218165</v>
      </c>
      <c r="L28" s="2">
        <v>55.637448852361103</v>
      </c>
      <c r="M28" s="2">
        <v>67.032143254365394</v>
      </c>
      <c r="N28" s="2">
        <v>66.4787184845664</v>
      </c>
      <c r="O28" s="2">
        <v>51.869468884088697</v>
      </c>
      <c r="P28" s="2">
        <v>40.490461221455298</v>
      </c>
      <c r="Q28" s="2">
        <v>59.213119552300803</v>
      </c>
      <c r="R28" s="2">
        <v>57.467346000971702</v>
      </c>
      <c r="S28" s="2">
        <v>58.408560607391003</v>
      </c>
      <c r="T28" s="2">
        <v>59.747468228462303</v>
      </c>
      <c r="U28" s="2">
        <v>46.715872305053502</v>
      </c>
      <c r="V28" s="2">
        <v>51.7909986009401</v>
      </c>
      <c r="W28" s="2">
        <v>56.520688817472397</v>
      </c>
      <c r="X28" s="2">
        <v>49.484491801743197</v>
      </c>
      <c r="Y28" s="2">
        <v>47.874886582488898</v>
      </c>
      <c r="Z28" s="2">
        <v>2.1549117248983798</v>
      </c>
      <c r="AA28" s="2">
        <f>MAX(120*16*Z28/SUM(Z:Z),0.75)</f>
        <v>30.77845963932873</v>
      </c>
      <c r="AB28" s="2">
        <f>AA28-F28</f>
        <v>13.418459639328731</v>
      </c>
    </row>
    <row r="29" spans="1:28" hidden="1" x14ac:dyDescent="0.25">
      <c r="A29" s="1">
        <v>1</v>
      </c>
      <c r="B29" s="1">
        <v>94</v>
      </c>
      <c r="C29" s="1" t="s">
        <v>70</v>
      </c>
      <c r="D29" s="1" t="s">
        <v>41</v>
      </c>
      <c r="E29" s="1">
        <v>23</v>
      </c>
      <c r="F29" s="1">
        <v>31.67</v>
      </c>
      <c r="G29" s="1">
        <v>2089</v>
      </c>
      <c r="H29" s="2">
        <v>24.2619421010887</v>
      </c>
      <c r="I29" s="2">
        <v>60.8878614175499</v>
      </c>
      <c r="J29" s="2">
        <v>66.072170848655205</v>
      </c>
      <c r="K29" s="2">
        <v>36.335171966255601</v>
      </c>
      <c r="L29" s="2">
        <v>58.3429050400173</v>
      </c>
      <c r="M29" s="2">
        <v>67.867037097123003</v>
      </c>
      <c r="N29" s="2">
        <v>68.823198319994205</v>
      </c>
      <c r="O29" s="2">
        <v>54.160537890258801</v>
      </c>
      <c r="P29" s="2">
        <v>49.104919244357902</v>
      </c>
      <c r="Q29" s="2">
        <v>54.091823491239403</v>
      </c>
      <c r="R29" s="2">
        <v>57.1748053212199</v>
      </c>
      <c r="S29" s="2">
        <v>55.342688730261699</v>
      </c>
      <c r="T29" s="2">
        <v>57.317790576104898</v>
      </c>
      <c r="U29" s="2">
        <v>53.691902804816401</v>
      </c>
      <c r="V29" s="2">
        <v>53.853598853558204</v>
      </c>
      <c r="W29" s="2">
        <v>62.7938883481145</v>
      </c>
      <c r="X29" s="2">
        <v>58.553937738842002</v>
      </c>
      <c r="Y29" s="2">
        <v>50.333144062297201</v>
      </c>
      <c r="Z29" s="2">
        <v>2.1886685255768099</v>
      </c>
      <c r="AA29" s="2">
        <f>MAX(120*16*Z29/SUM(Z:Z),0.75)</f>
        <v>31.260605759389833</v>
      </c>
      <c r="AB29" s="2">
        <f>AA29-F29</f>
        <v>-0.40939424061016894</v>
      </c>
    </row>
    <row r="30" spans="1:28" hidden="1" x14ac:dyDescent="0.25">
      <c r="A30" s="1">
        <v>1</v>
      </c>
      <c r="B30" s="1">
        <v>10</v>
      </c>
      <c r="C30" s="1" t="s">
        <v>71</v>
      </c>
      <c r="D30" s="1" t="s">
        <v>46</v>
      </c>
      <c r="E30" s="1">
        <v>24</v>
      </c>
      <c r="F30" s="1">
        <v>6.22</v>
      </c>
      <c r="G30" s="1">
        <v>2086</v>
      </c>
      <c r="H30" s="2">
        <v>24.821181199752601</v>
      </c>
      <c r="I30" s="2">
        <v>60.790213358070503</v>
      </c>
      <c r="J30" s="2">
        <v>64.9253710575139</v>
      </c>
      <c r="K30" s="2">
        <v>60.0719078540507</v>
      </c>
      <c r="L30" s="2">
        <v>60.769542362399498</v>
      </c>
      <c r="M30" s="2">
        <v>50.958704390847203</v>
      </c>
      <c r="N30" s="2">
        <v>49.8883580705009</v>
      </c>
      <c r="O30" s="2">
        <v>48.760126777983899</v>
      </c>
      <c r="P30" s="2">
        <v>51.413682745825596</v>
      </c>
      <c r="Q30" s="2">
        <v>58.303509585652399</v>
      </c>
      <c r="R30" s="2">
        <v>46.857282003710502</v>
      </c>
      <c r="S30" s="2">
        <v>44.205797773654901</v>
      </c>
      <c r="T30" s="2">
        <v>48.0573438466295</v>
      </c>
      <c r="U30" s="2">
        <v>54.037708719851501</v>
      </c>
      <c r="V30" s="2">
        <v>58.799876314161999</v>
      </c>
      <c r="W30" s="2">
        <v>56.554344465058698</v>
      </c>
      <c r="X30" s="2">
        <v>52.6193413729128</v>
      </c>
      <c r="Y30" s="2">
        <v>64.169495980210201</v>
      </c>
      <c r="Z30" s="2">
        <v>1.85369234855433</v>
      </c>
      <c r="AA30" s="2">
        <f>MAX(120*16*Z30/SUM(Z:Z),0.75)</f>
        <v>26.476163489435951</v>
      </c>
      <c r="AB30" s="2">
        <f>AA30-F30</f>
        <v>20.256163489435952</v>
      </c>
    </row>
    <row r="31" spans="1:28" hidden="1" x14ac:dyDescent="0.25">
      <c r="A31" s="1">
        <v>1</v>
      </c>
      <c r="B31" s="1">
        <v>13</v>
      </c>
      <c r="C31" s="1" t="s">
        <v>72</v>
      </c>
      <c r="D31" s="1" t="s">
        <v>37</v>
      </c>
      <c r="E31" s="1">
        <v>24</v>
      </c>
      <c r="F31" s="1">
        <v>3.88</v>
      </c>
      <c r="G31" s="1">
        <v>2086</v>
      </c>
      <c r="H31" s="2">
        <v>24.3244922341696</v>
      </c>
      <c r="I31" s="2">
        <v>60.741030892643799</v>
      </c>
      <c r="J31" s="2">
        <v>65.794128690902895</v>
      </c>
      <c r="K31" s="2">
        <v>39.922546509643198</v>
      </c>
      <c r="L31" s="2">
        <v>52.975985663082398</v>
      </c>
      <c r="M31" s="2">
        <v>64.293753200204804</v>
      </c>
      <c r="N31" s="2">
        <v>63.550878989588597</v>
      </c>
      <c r="O31" s="2">
        <v>52.043181430278203</v>
      </c>
      <c r="P31" s="2">
        <v>41.522580645161199</v>
      </c>
      <c r="Q31" s="2">
        <v>50.170660522273401</v>
      </c>
      <c r="R31" s="2">
        <v>60.469602321215199</v>
      </c>
      <c r="S31" s="2">
        <v>60.164311315924202</v>
      </c>
      <c r="T31" s="2">
        <v>61.705427547363001</v>
      </c>
      <c r="U31" s="2">
        <v>56.877095067417599</v>
      </c>
      <c r="V31" s="2">
        <v>51.273220686123899</v>
      </c>
      <c r="W31" s="2">
        <v>66.281771633384494</v>
      </c>
      <c r="X31" s="2">
        <v>60.983290663935797</v>
      </c>
      <c r="Y31" s="2">
        <v>52.619610855094699</v>
      </c>
      <c r="Z31" s="2">
        <v>2.8688486891684701</v>
      </c>
      <c r="AA31" s="2">
        <f>MAX(120*16*Z31/SUM(Z:Z),0.75)</f>
        <v>40.975573417085954</v>
      </c>
      <c r="AB31" s="2">
        <f>AA31-F31</f>
        <v>37.095573417085951</v>
      </c>
    </row>
    <row r="32" spans="1:28" hidden="1" x14ac:dyDescent="0.25">
      <c r="A32" s="1">
        <v>1</v>
      </c>
      <c r="B32" s="1">
        <v>111</v>
      </c>
      <c r="C32" s="1" t="s">
        <v>69</v>
      </c>
      <c r="D32" s="1" t="s">
        <v>41</v>
      </c>
      <c r="E32" s="1">
        <v>28</v>
      </c>
      <c r="F32" s="1">
        <v>12.74</v>
      </c>
      <c r="G32" s="1">
        <v>2087</v>
      </c>
      <c r="H32" s="2">
        <v>26.717291967291899</v>
      </c>
      <c r="I32" s="2">
        <v>60.716137566137498</v>
      </c>
      <c r="J32" s="2">
        <v>62.584343434343403</v>
      </c>
      <c r="K32" s="2">
        <v>41.076382876382802</v>
      </c>
      <c r="L32" s="2">
        <v>53.674410774410703</v>
      </c>
      <c r="M32" s="2">
        <v>61.277224627224598</v>
      </c>
      <c r="N32" s="2">
        <v>58.183381433381399</v>
      </c>
      <c r="O32" s="2">
        <v>51.029653679653599</v>
      </c>
      <c r="P32" s="2">
        <v>39.180303030303001</v>
      </c>
      <c r="Q32" s="2">
        <v>52.260942760942697</v>
      </c>
      <c r="R32" s="2">
        <v>63.987758537758502</v>
      </c>
      <c r="S32" s="2">
        <v>63.1600769600769</v>
      </c>
      <c r="T32" s="2">
        <v>62.135497835497802</v>
      </c>
      <c r="U32" s="2">
        <v>55.079942279942202</v>
      </c>
      <c r="V32" s="2">
        <v>58.671765271765203</v>
      </c>
      <c r="W32" s="2">
        <v>61.987590187590101</v>
      </c>
      <c r="X32" s="2">
        <v>54.410317460317401</v>
      </c>
      <c r="Y32" s="2">
        <v>52.484295334295297</v>
      </c>
      <c r="Z32" s="2">
        <v>2.3047633598352899</v>
      </c>
      <c r="AA32" s="2">
        <f>MAX(120*16*Z32/SUM(Z:Z),0.75)</f>
        <v>32.918780490759715</v>
      </c>
      <c r="AB32" s="2">
        <f>AA32-F32</f>
        <v>20.178780490759713</v>
      </c>
    </row>
    <row r="33" spans="1:28" hidden="1" x14ac:dyDescent="0.25">
      <c r="A33" s="1">
        <v>1</v>
      </c>
      <c r="B33" s="1">
        <v>118</v>
      </c>
      <c r="C33" s="1" t="s">
        <v>76</v>
      </c>
      <c r="D33" s="1" t="s">
        <v>55</v>
      </c>
      <c r="E33" s="1">
        <v>29</v>
      </c>
      <c r="F33" s="1">
        <v>10.63</v>
      </c>
      <c r="G33" s="1">
        <v>2085</v>
      </c>
      <c r="H33" s="2">
        <v>27.343738977072299</v>
      </c>
      <c r="I33" s="2">
        <v>60.447103513770102</v>
      </c>
      <c r="J33" s="2">
        <v>61.956871523538098</v>
      </c>
      <c r="K33" s="2">
        <v>53.959761226427801</v>
      </c>
      <c r="L33" s="2">
        <v>64.665106498439798</v>
      </c>
      <c r="M33" s="2">
        <v>49.412386379052997</v>
      </c>
      <c r="N33" s="2">
        <v>46.220119386786003</v>
      </c>
      <c r="O33" s="2">
        <v>53.665350698684001</v>
      </c>
      <c r="P33" s="2">
        <v>66.584439017772297</v>
      </c>
      <c r="Q33" s="2">
        <v>62.222072988739598</v>
      </c>
      <c r="R33" s="2">
        <v>46.6748745082078</v>
      </c>
      <c r="S33" s="2">
        <v>47.479324379324297</v>
      </c>
      <c r="T33" s="2">
        <v>48.874969474969397</v>
      </c>
      <c r="U33" s="2">
        <v>50.998846832180099</v>
      </c>
      <c r="V33" s="2">
        <v>62.232858499525101</v>
      </c>
      <c r="W33" s="2">
        <v>55.194858228191499</v>
      </c>
      <c r="X33" s="2">
        <v>53.972052638719298</v>
      </c>
      <c r="Y33" s="2">
        <v>61.7557997557997</v>
      </c>
      <c r="Z33" s="2">
        <v>1.1780449418680401</v>
      </c>
      <c r="AA33" s="2">
        <f>MAX(120*16*Z33/SUM(Z:Z),0.75)</f>
        <v>16.825936894612557</v>
      </c>
      <c r="AB33" s="2">
        <f>AA33-F33</f>
        <v>6.1959368946125561</v>
      </c>
    </row>
    <row r="34" spans="1:28" hidden="1" x14ac:dyDescent="0.25">
      <c r="A34" s="1">
        <v>1</v>
      </c>
      <c r="B34" s="1">
        <v>24</v>
      </c>
      <c r="C34" s="1" t="s">
        <v>73</v>
      </c>
      <c r="D34" s="1" t="s">
        <v>37</v>
      </c>
      <c r="E34" s="1">
        <v>25</v>
      </c>
      <c r="F34" s="1">
        <v>7.63</v>
      </c>
      <c r="G34" s="1">
        <v>2085</v>
      </c>
      <c r="H34" s="2">
        <v>25.355554630246498</v>
      </c>
      <c r="I34" s="2">
        <v>60.3158600284995</v>
      </c>
      <c r="J34" s="2">
        <v>63.762512491672197</v>
      </c>
      <c r="K34" s="2">
        <v>46.0859126323192</v>
      </c>
      <c r="L34" s="2">
        <v>55.147746409800803</v>
      </c>
      <c r="M34" s="2">
        <v>62.833756662225099</v>
      </c>
      <c r="N34" s="2">
        <v>60.8879520134725</v>
      </c>
      <c r="O34" s="2">
        <v>50.769799300466303</v>
      </c>
      <c r="P34" s="2">
        <v>47.126072201865398</v>
      </c>
      <c r="Q34" s="2">
        <v>60.3735946868754</v>
      </c>
      <c r="R34" s="2">
        <v>58.055576375009203</v>
      </c>
      <c r="S34" s="2">
        <v>58.0151623454733</v>
      </c>
      <c r="T34" s="2">
        <v>61.083506828780799</v>
      </c>
      <c r="U34" s="2">
        <v>56.383390239840097</v>
      </c>
      <c r="V34" s="2">
        <v>51.124647225923397</v>
      </c>
      <c r="W34" s="2">
        <v>57.704903906654799</v>
      </c>
      <c r="X34" s="2">
        <v>50.065951402768498</v>
      </c>
      <c r="Y34" s="2">
        <v>49.461752350284897</v>
      </c>
      <c r="Z34" s="2">
        <v>2.0276284796226398</v>
      </c>
      <c r="AA34" s="2">
        <f>MAX(120*16*Z34/SUM(Z:Z),0.75)</f>
        <v>28.960481583792891</v>
      </c>
      <c r="AB34" s="2">
        <f>AA34-F34</f>
        <v>21.330481583792892</v>
      </c>
    </row>
    <row r="35" spans="1:28" hidden="1" x14ac:dyDescent="0.25">
      <c r="A35" s="1">
        <v>1</v>
      </c>
      <c r="B35" s="1">
        <v>81</v>
      </c>
      <c r="C35" s="1" t="s">
        <v>74</v>
      </c>
      <c r="D35" s="1" t="s">
        <v>75</v>
      </c>
      <c r="E35" s="1">
        <v>23</v>
      </c>
      <c r="F35" s="1">
        <v>7</v>
      </c>
      <c r="G35" s="1">
        <v>2085</v>
      </c>
      <c r="H35" s="2">
        <v>25.1680504069693</v>
      </c>
      <c r="I35" s="2">
        <v>60.198836733803397</v>
      </c>
      <c r="J35" s="2">
        <v>64.250382862547298</v>
      </c>
      <c r="K35" s="2">
        <v>26.853954114173199</v>
      </c>
      <c r="L35" s="2">
        <v>51.74341350708</v>
      </c>
      <c r="M35" s="2">
        <v>70.846351029680207</v>
      </c>
      <c r="N35" s="2">
        <v>69.8925309821025</v>
      </c>
      <c r="O35" s="2">
        <v>52.754881451261603</v>
      </c>
      <c r="P35" s="2">
        <v>40.559719347517898</v>
      </c>
      <c r="Q35" s="2">
        <v>40.446256894668601</v>
      </c>
      <c r="R35" s="2">
        <v>54.221695347157002</v>
      </c>
      <c r="S35" s="2">
        <v>54.054857307442802</v>
      </c>
      <c r="T35" s="2">
        <v>55.546462801141402</v>
      </c>
      <c r="U35" s="2">
        <v>57.156646242400903</v>
      </c>
      <c r="V35" s="2">
        <v>51.893882370427498</v>
      </c>
      <c r="W35" s="2">
        <v>74.827127854276299</v>
      </c>
      <c r="X35" s="2">
        <v>76.431471855997799</v>
      </c>
      <c r="Y35" s="2">
        <v>52.835019888147201</v>
      </c>
      <c r="Z35" s="2">
        <v>3.8202136099523698</v>
      </c>
      <c r="AA35" s="2">
        <f>MAX(120*16*Z35/SUM(Z:Z),0.75)</f>
        <v>54.563854773716137</v>
      </c>
      <c r="AB35" s="2">
        <f>AA35-F35</f>
        <v>47.563854773716137</v>
      </c>
    </row>
    <row r="36" spans="1:28" hidden="1" x14ac:dyDescent="0.25">
      <c r="A36" s="1">
        <v>1</v>
      </c>
      <c r="B36" s="1">
        <v>100</v>
      </c>
      <c r="C36" s="1" t="s">
        <v>77</v>
      </c>
      <c r="D36" s="1" t="s">
        <v>55</v>
      </c>
      <c r="E36" s="1">
        <v>28</v>
      </c>
      <c r="F36" s="1">
        <v>35</v>
      </c>
      <c r="G36" s="1">
        <v>2085</v>
      </c>
      <c r="H36" s="2">
        <v>26.820374220374202</v>
      </c>
      <c r="I36" s="2">
        <v>59.543624393624299</v>
      </c>
      <c r="J36" s="2">
        <v>61.337837837837803</v>
      </c>
      <c r="K36" s="2">
        <v>47.105717255717202</v>
      </c>
      <c r="L36" s="2">
        <v>63.233922383922298</v>
      </c>
      <c r="M36" s="2">
        <v>53.788184338184301</v>
      </c>
      <c r="N36" s="2">
        <v>48.647886347886299</v>
      </c>
      <c r="O36" s="2">
        <v>54.215349965349901</v>
      </c>
      <c r="P36" s="2">
        <v>61.810187110187101</v>
      </c>
      <c r="Q36" s="2">
        <v>64.044559944559893</v>
      </c>
      <c r="R36" s="2">
        <v>46.278516978516897</v>
      </c>
      <c r="S36" s="2">
        <v>44.131843381843296</v>
      </c>
      <c r="T36" s="2">
        <v>44.3427927927927</v>
      </c>
      <c r="U36" s="2">
        <v>57.299688149688102</v>
      </c>
      <c r="V36" s="2">
        <v>57.372522522522502</v>
      </c>
      <c r="W36" s="2">
        <v>57.258835758835701</v>
      </c>
      <c r="X36" s="2">
        <v>53.134650034650001</v>
      </c>
      <c r="Y36" s="2">
        <v>64.153153153153099</v>
      </c>
      <c r="Z36" s="2">
        <v>0.89842359151474904</v>
      </c>
      <c r="AA36" s="2">
        <f>MAX(120*16*Z36/SUM(Z:Z),0.75)</f>
        <v>12.832123901391585</v>
      </c>
      <c r="AB36" s="2">
        <f>AA36-F36</f>
        <v>-22.167876098608417</v>
      </c>
    </row>
    <row r="37" spans="1:28" hidden="1" x14ac:dyDescent="0.25">
      <c r="A37" s="1">
        <v>1</v>
      </c>
      <c r="B37" s="1">
        <v>108</v>
      </c>
      <c r="C37" s="1" t="s">
        <v>78</v>
      </c>
      <c r="D37" s="1" t="s">
        <v>46</v>
      </c>
      <c r="E37" s="1">
        <v>29</v>
      </c>
      <c r="F37" s="1">
        <v>14.25</v>
      </c>
      <c r="G37" s="1">
        <v>2088</v>
      </c>
      <c r="H37" s="2">
        <v>28.542496904199002</v>
      </c>
      <c r="I37" s="2">
        <v>59.423074036549203</v>
      </c>
      <c r="J37" s="2">
        <v>60.074036549213801</v>
      </c>
      <c r="K37" s="2">
        <v>53.246988629967298</v>
      </c>
      <c r="L37" s="2">
        <v>61.3702765582198</v>
      </c>
      <c r="M37" s="2">
        <v>46.1382791099103</v>
      </c>
      <c r="N37" s="2">
        <v>39.634976922210903</v>
      </c>
      <c r="O37" s="2">
        <v>53.179143682689698</v>
      </c>
      <c r="P37" s="2">
        <v>61.051446583361397</v>
      </c>
      <c r="Q37" s="2">
        <v>61.592480018011898</v>
      </c>
      <c r="R37" s="2">
        <v>44.291474351757998</v>
      </c>
      <c r="S37" s="2">
        <v>43.675447483958102</v>
      </c>
      <c r="T37" s="2">
        <v>45.040376749596597</v>
      </c>
      <c r="U37" s="2">
        <v>58.627434425306703</v>
      </c>
      <c r="V37" s="2">
        <v>59.817460317460302</v>
      </c>
      <c r="W37" s="2">
        <v>55.712859769597301</v>
      </c>
      <c r="X37" s="2">
        <v>53.6469661150512</v>
      </c>
      <c r="Y37" s="2">
        <v>69.175297384517194</v>
      </c>
      <c r="Z37" s="2">
        <v>1.3853325288868401</v>
      </c>
      <c r="AA37" s="2">
        <f>MAX(120*16*Z37/SUM(Z:Z),0.75)</f>
        <v>19.786611597467424</v>
      </c>
      <c r="AB37" s="2">
        <f>AA37-F37</f>
        <v>5.5366115974674237</v>
      </c>
    </row>
    <row r="38" spans="1:28" hidden="1" x14ac:dyDescent="0.25">
      <c r="A38" s="1">
        <v>1</v>
      </c>
      <c r="B38" s="1">
        <v>6</v>
      </c>
      <c r="C38" s="1" t="s">
        <v>80</v>
      </c>
      <c r="D38" s="1" t="s">
        <v>75</v>
      </c>
      <c r="E38" s="1">
        <v>23</v>
      </c>
      <c r="F38" s="1">
        <v>7</v>
      </c>
      <c r="G38" s="1">
        <v>2087</v>
      </c>
      <c r="H38" s="2">
        <v>23.7658499953064</v>
      </c>
      <c r="I38" s="2">
        <v>59.402587064676602</v>
      </c>
      <c r="J38" s="2">
        <v>65.640966863794205</v>
      </c>
      <c r="K38" s="2">
        <v>26.492980381113298</v>
      </c>
      <c r="L38" s="2">
        <v>52.4767614756406</v>
      </c>
      <c r="M38" s="2">
        <v>73.369565380643905</v>
      </c>
      <c r="N38" s="2">
        <v>73.086217966769894</v>
      </c>
      <c r="O38" s="2">
        <v>53.797352858349697</v>
      </c>
      <c r="P38" s="2">
        <v>39.958453017929202</v>
      </c>
      <c r="Q38" s="2">
        <v>41.983713507932002</v>
      </c>
      <c r="R38" s="2">
        <v>60.243195344034497</v>
      </c>
      <c r="S38" s="2">
        <v>62.695364686003899</v>
      </c>
      <c r="T38" s="2">
        <v>62.456331549798101</v>
      </c>
      <c r="U38" s="2">
        <v>53.549154228855699</v>
      </c>
      <c r="V38" s="2">
        <v>48.636063080822296</v>
      </c>
      <c r="W38" s="2">
        <v>67.418892330798798</v>
      </c>
      <c r="X38" s="2">
        <v>67.152158077536797</v>
      </c>
      <c r="Y38" s="2">
        <v>47.461610813855202</v>
      </c>
      <c r="Z38" s="2">
        <v>1.9699988976126099</v>
      </c>
      <c r="AA38" s="2">
        <f>MAX(120*16*Z38/SUM(Z:Z),0.75)</f>
        <v>28.137362129091919</v>
      </c>
      <c r="AB38" s="2">
        <f>AA38-F38</f>
        <v>21.137362129091919</v>
      </c>
    </row>
    <row r="39" spans="1:28" hidden="1" x14ac:dyDescent="0.25">
      <c r="A39" s="1">
        <v>1</v>
      </c>
      <c r="B39" s="1">
        <v>15</v>
      </c>
      <c r="C39" s="1" t="s">
        <v>79</v>
      </c>
      <c r="D39" s="1" t="s">
        <v>35</v>
      </c>
      <c r="E39" s="1">
        <v>23</v>
      </c>
      <c r="F39" s="1">
        <v>24.41</v>
      </c>
      <c r="G39" s="1">
        <v>2085</v>
      </c>
      <c r="H39" s="2">
        <v>25.450107947147899</v>
      </c>
      <c r="I39" s="2">
        <v>59.371368114086501</v>
      </c>
      <c r="J39" s="2">
        <v>63.0973302488812</v>
      </c>
      <c r="K39" s="2">
        <v>27.267395797824399</v>
      </c>
      <c r="L39" s="2">
        <v>51.034932547127603</v>
      </c>
      <c r="M39" s="2">
        <v>71.661045955386399</v>
      </c>
      <c r="N39" s="2">
        <v>70.072085622168501</v>
      </c>
      <c r="O39" s="2">
        <v>52.584675408260502</v>
      </c>
      <c r="P39" s="2">
        <v>38.740359569391003</v>
      </c>
      <c r="Q39" s="2">
        <v>40.705453477771698</v>
      </c>
      <c r="R39" s="2">
        <v>51.274658485409098</v>
      </c>
      <c r="S39" s="2">
        <v>50.889687035673298</v>
      </c>
      <c r="T39" s="2">
        <v>50.517525690033303</v>
      </c>
      <c r="U39" s="2">
        <v>55.3669162158387</v>
      </c>
      <c r="V39" s="2">
        <v>52.2226413179527</v>
      </c>
      <c r="W39" s="2">
        <v>73.984526997195701</v>
      </c>
      <c r="X39" s="2">
        <v>76.135007663423394</v>
      </c>
      <c r="Y39" s="2">
        <v>53.0715439347928</v>
      </c>
      <c r="Z39" s="2">
        <v>3.3502663272911302</v>
      </c>
      <c r="AA39" s="2">
        <f>MAX(120*16*Z39/SUM(Z:Z),0.75)</f>
        <v>47.851629254277157</v>
      </c>
      <c r="AB39" s="2">
        <f>AA39-F39</f>
        <v>23.441629254277156</v>
      </c>
    </row>
    <row r="40" spans="1:28" hidden="1" x14ac:dyDescent="0.25">
      <c r="A40" s="1">
        <v>1</v>
      </c>
      <c r="B40" s="1">
        <v>124</v>
      </c>
      <c r="C40" s="1" t="s">
        <v>81</v>
      </c>
      <c r="D40" s="1" t="s">
        <v>37</v>
      </c>
      <c r="E40" s="1">
        <v>27</v>
      </c>
      <c r="F40" s="1">
        <v>10.61</v>
      </c>
      <c r="G40" s="1">
        <v>2086</v>
      </c>
      <c r="H40" s="2">
        <v>27.069930069929999</v>
      </c>
      <c r="I40" s="2">
        <v>58.851838901838903</v>
      </c>
      <c r="J40" s="2">
        <v>60.4674695674695</v>
      </c>
      <c r="K40" s="2">
        <v>50.685107485107402</v>
      </c>
      <c r="L40" s="2">
        <v>56.712691012691003</v>
      </c>
      <c r="M40" s="2">
        <v>52.934239834239797</v>
      </c>
      <c r="N40" s="2">
        <v>46.688992488992398</v>
      </c>
      <c r="O40" s="2">
        <v>50.654765604765601</v>
      </c>
      <c r="P40" s="2">
        <v>51.144819994819898</v>
      </c>
      <c r="Q40" s="2">
        <v>57.555335405335398</v>
      </c>
      <c r="R40" s="2">
        <v>47.037166537166499</v>
      </c>
      <c r="S40" s="2">
        <v>45.076845376845299</v>
      </c>
      <c r="T40" s="2">
        <v>49.931559181559102</v>
      </c>
      <c r="U40" s="2">
        <v>57.570344470344402</v>
      </c>
      <c r="V40" s="2">
        <v>54.083113183113099</v>
      </c>
      <c r="W40" s="2">
        <v>57.730212380212301</v>
      </c>
      <c r="X40" s="2">
        <v>54.397280497280498</v>
      </c>
      <c r="Y40" s="2">
        <v>61.393758093758002</v>
      </c>
      <c r="Z40" s="2">
        <v>1.15162663937183</v>
      </c>
      <c r="AA40" s="2">
        <f>MAX(120*16*Z40/SUM(Z:Z),0.75)</f>
        <v>16.448606051903663</v>
      </c>
      <c r="AB40" s="2">
        <f>AA40-F40</f>
        <v>5.838606051903664</v>
      </c>
    </row>
    <row r="41" spans="1:28" hidden="1" x14ac:dyDescent="0.25">
      <c r="A41" s="1">
        <v>1</v>
      </c>
      <c r="B41" s="1">
        <v>114</v>
      </c>
      <c r="C41" s="1" t="s">
        <v>82</v>
      </c>
      <c r="D41" s="1" t="s">
        <v>37</v>
      </c>
      <c r="E41" s="1">
        <v>26</v>
      </c>
      <c r="F41" s="1">
        <v>7.75</v>
      </c>
      <c r="G41" s="1">
        <v>2086</v>
      </c>
      <c r="H41" s="2">
        <v>25.820940170940101</v>
      </c>
      <c r="I41" s="2">
        <v>58.772066822066797</v>
      </c>
      <c r="J41" s="2">
        <v>61.628515928515903</v>
      </c>
      <c r="K41" s="2">
        <v>40.770240870240798</v>
      </c>
      <c r="L41" s="2">
        <v>54.624048174048099</v>
      </c>
      <c r="M41" s="2">
        <v>60.973271173271101</v>
      </c>
      <c r="N41" s="2">
        <v>57.497940947940897</v>
      </c>
      <c r="O41" s="2">
        <v>48.934654234654197</v>
      </c>
      <c r="P41" s="2">
        <v>46.004623154623097</v>
      </c>
      <c r="Q41" s="2">
        <v>55.078049728049699</v>
      </c>
      <c r="R41" s="2">
        <v>51.259673659673602</v>
      </c>
      <c r="S41" s="2">
        <v>48.499883449883399</v>
      </c>
      <c r="T41" s="2">
        <v>53.280186480186401</v>
      </c>
      <c r="U41" s="2">
        <v>55.780031080031002</v>
      </c>
      <c r="V41" s="2">
        <v>54.777311577311501</v>
      </c>
      <c r="W41" s="2">
        <v>61.717094017093999</v>
      </c>
      <c r="X41" s="2">
        <v>55.372882672882596</v>
      </c>
      <c r="Y41" s="2">
        <v>54.945881895881897</v>
      </c>
      <c r="Z41" s="2">
        <v>1.21252268194046</v>
      </c>
      <c r="AA41" s="2">
        <f>MAX(120*16*Z41/SUM(Z:Z),0.75)</f>
        <v>17.318380143685456</v>
      </c>
      <c r="AB41" s="2">
        <f>AA41-F41</f>
        <v>9.5683801436854559</v>
      </c>
    </row>
    <row r="42" spans="1:28" hidden="1" x14ac:dyDescent="0.25">
      <c r="A42" s="1">
        <v>1</v>
      </c>
      <c r="B42" s="1">
        <v>23</v>
      </c>
      <c r="C42" s="1" t="s">
        <v>83</v>
      </c>
      <c r="D42" s="1" t="s">
        <v>55</v>
      </c>
      <c r="E42" s="1">
        <v>26</v>
      </c>
      <c r="F42" s="1">
        <v>10.93</v>
      </c>
      <c r="G42" s="1">
        <v>2086</v>
      </c>
      <c r="H42" s="2">
        <v>25.437294776119401</v>
      </c>
      <c r="I42" s="2">
        <v>58.571050995024798</v>
      </c>
      <c r="J42" s="2">
        <v>61.966980721393</v>
      </c>
      <c r="K42" s="2">
        <v>53.177618159203902</v>
      </c>
      <c r="L42" s="2">
        <v>53.4809888059701</v>
      </c>
      <c r="M42" s="2">
        <v>64.968320895522297</v>
      </c>
      <c r="N42" s="2">
        <v>64.267273009950202</v>
      </c>
      <c r="O42" s="2">
        <v>49.671632462686503</v>
      </c>
      <c r="P42" s="2">
        <v>40.305177238805904</v>
      </c>
      <c r="Q42" s="2">
        <v>54.104157338308397</v>
      </c>
      <c r="R42" s="2">
        <v>52.565615671641702</v>
      </c>
      <c r="S42" s="2">
        <v>47.606262437810898</v>
      </c>
      <c r="T42" s="2">
        <v>53.974944029850697</v>
      </c>
      <c r="U42" s="2">
        <v>46.711837686567101</v>
      </c>
      <c r="V42" s="2">
        <v>49.624334577114404</v>
      </c>
      <c r="W42" s="2">
        <v>56.443877487562098</v>
      </c>
      <c r="X42" s="2">
        <v>47.665195895522302</v>
      </c>
      <c r="Y42" s="2">
        <v>46.811274875621798</v>
      </c>
      <c r="Z42" s="2">
        <v>0.95408330940835595</v>
      </c>
      <c r="AA42" s="2">
        <f>MAX(120*16*Z42/SUM(Z:Z),0.75)</f>
        <v>13.62710791903416</v>
      </c>
      <c r="AB42" s="2">
        <f>AA42-F42</f>
        <v>2.6971079190341598</v>
      </c>
    </row>
    <row r="43" spans="1:28" hidden="1" x14ac:dyDescent="0.25">
      <c r="A43" s="1">
        <v>1</v>
      </c>
      <c r="B43" s="1">
        <v>5</v>
      </c>
      <c r="C43" s="1" t="s">
        <v>86</v>
      </c>
      <c r="D43" s="1" t="s">
        <v>75</v>
      </c>
      <c r="E43" s="1">
        <v>23</v>
      </c>
      <c r="F43" s="1">
        <v>7</v>
      </c>
      <c r="G43" s="1">
        <v>2086</v>
      </c>
      <c r="H43" s="2">
        <v>24.711107802016802</v>
      </c>
      <c r="I43" s="2">
        <v>58.327155668064698</v>
      </c>
      <c r="J43" s="2">
        <v>62.657430157430099</v>
      </c>
      <c r="K43" s="2">
        <v>27.704188348127701</v>
      </c>
      <c r="L43" s="2">
        <v>49.922226634347801</v>
      </c>
      <c r="M43" s="2">
        <v>67.875393299635704</v>
      </c>
      <c r="N43" s="2">
        <v>68.910437296800893</v>
      </c>
      <c r="O43" s="2">
        <v>51.536471044046799</v>
      </c>
      <c r="P43" s="2">
        <v>39.1567566188778</v>
      </c>
      <c r="Q43" s="2">
        <v>37.735995637510698</v>
      </c>
      <c r="R43" s="2">
        <v>53.562807987050398</v>
      </c>
      <c r="S43" s="2">
        <v>51.755284899224201</v>
      </c>
      <c r="T43" s="2">
        <v>56.788212454879101</v>
      </c>
      <c r="U43" s="2">
        <v>56.470970281576299</v>
      </c>
      <c r="V43" s="2">
        <v>47.613452984665102</v>
      </c>
      <c r="W43" s="2">
        <v>73.456600539933802</v>
      </c>
      <c r="X43" s="2">
        <v>74.619079823625199</v>
      </c>
      <c r="Y43" s="2">
        <v>50.832417127871601</v>
      </c>
      <c r="Z43" s="2">
        <v>2.9197709021258</v>
      </c>
      <c r="AA43" s="2">
        <f>MAX(120*16*Z43/SUM(Z:Z),0.75)</f>
        <v>41.70289196946257</v>
      </c>
      <c r="AB43" s="2">
        <f>AA43-F43</f>
        <v>34.70289196946257</v>
      </c>
    </row>
    <row r="44" spans="1:28" x14ac:dyDescent="0.25">
      <c r="A44" s="1">
        <v>1</v>
      </c>
      <c r="B44" s="1">
        <v>135</v>
      </c>
      <c r="C44" s="1" t="s">
        <v>84</v>
      </c>
      <c r="D44" s="1" t="s">
        <v>55</v>
      </c>
      <c r="E44" s="1">
        <v>28</v>
      </c>
      <c r="F44" s="1">
        <v>3.1</v>
      </c>
      <c r="G44" s="1">
        <v>2085</v>
      </c>
      <c r="H44" s="2">
        <v>27.576097105508801</v>
      </c>
      <c r="I44" s="2">
        <v>58.241020852785503</v>
      </c>
      <c r="J44" s="2">
        <v>59.605135387488303</v>
      </c>
      <c r="K44" s="2">
        <v>50.0795051353874</v>
      </c>
      <c r="L44" s="2">
        <v>56.058776844070898</v>
      </c>
      <c r="M44" s="2">
        <v>60.526439464674702</v>
      </c>
      <c r="N44" s="2">
        <v>57.828524743230602</v>
      </c>
      <c r="O44" s="2">
        <v>52.101213818860799</v>
      </c>
      <c r="P44" s="2">
        <v>49.224821039526901</v>
      </c>
      <c r="Q44" s="2">
        <v>59.539947089946999</v>
      </c>
      <c r="R44" s="2">
        <v>61.030687830687803</v>
      </c>
      <c r="S44" s="2">
        <v>58.947401182695302</v>
      </c>
      <c r="T44" s="2">
        <v>61.330936819172102</v>
      </c>
      <c r="U44" s="2">
        <v>48.885574229691798</v>
      </c>
      <c r="V44" s="2">
        <v>47.4100684718331</v>
      </c>
      <c r="W44" s="2">
        <v>52.685169623404903</v>
      </c>
      <c r="X44" s="2">
        <v>47.065904139433499</v>
      </c>
      <c r="Y44" s="2">
        <v>45.681839402427599</v>
      </c>
      <c r="Z44" s="2">
        <v>0.86480199588228301</v>
      </c>
      <c r="AA44" s="2">
        <f>MAX(120*16*Z44/SUM(Z:Z),0.75)</f>
        <v>12.351908905933946</v>
      </c>
      <c r="AB44" s="2">
        <f>AA44-F44</f>
        <v>9.2519089059339468</v>
      </c>
    </row>
    <row r="45" spans="1:28" hidden="1" x14ac:dyDescent="0.25">
      <c r="A45" s="1">
        <v>1</v>
      </c>
      <c r="B45" s="1">
        <v>117</v>
      </c>
      <c r="C45" s="1" t="s">
        <v>89</v>
      </c>
      <c r="D45" s="1" t="s">
        <v>41</v>
      </c>
      <c r="E45" s="1">
        <v>24</v>
      </c>
      <c r="F45" s="1">
        <v>2.0499999999999998</v>
      </c>
      <c r="G45" s="1">
        <v>2086</v>
      </c>
      <c r="H45" s="2">
        <v>24.515804093567201</v>
      </c>
      <c r="I45" s="2">
        <v>58.033055555555499</v>
      </c>
      <c r="J45" s="2">
        <v>62.812397660818696</v>
      </c>
      <c r="K45" s="2">
        <v>42.702558479532101</v>
      </c>
      <c r="L45" s="2">
        <v>56.4449707602339</v>
      </c>
      <c r="M45" s="2">
        <v>62.747997076023303</v>
      </c>
      <c r="N45" s="2">
        <v>61.564342105263101</v>
      </c>
      <c r="O45" s="2">
        <v>49.7498830409356</v>
      </c>
      <c r="P45" s="2">
        <v>47.626856725146197</v>
      </c>
      <c r="Q45" s="2">
        <v>57.2832017543859</v>
      </c>
      <c r="R45" s="2">
        <v>60.308230994151998</v>
      </c>
      <c r="S45" s="2">
        <v>59.6179678362573</v>
      </c>
      <c r="T45" s="2">
        <v>61.598596491228001</v>
      </c>
      <c r="U45" s="2">
        <v>51.042792397660797</v>
      </c>
      <c r="V45" s="2">
        <v>48.516885964912198</v>
      </c>
      <c r="W45" s="2">
        <v>55.3408333333333</v>
      </c>
      <c r="X45" s="2">
        <v>48.464327485380103</v>
      </c>
      <c r="Y45" s="2">
        <v>46.850307017543798</v>
      </c>
      <c r="Z45" s="2">
        <v>0.73131778438720196</v>
      </c>
      <c r="AA45" s="2">
        <f>MAX(120*16*Z45/SUM(Z:Z),0.75)</f>
        <v>10.445362865778769</v>
      </c>
      <c r="AB45" s="2">
        <f>AA45-F45</f>
        <v>8.3953628657787682</v>
      </c>
    </row>
    <row r="46" spans="1:28" hidden="1" x14ac:dyDescent="0.25">
      <c r="A46" s="1">
        <v>1</v>
      </c>
      <c r="B46" s="1">
        <v>26</v>
      </c>
      <c r="C46" s="1" t="s">
        <v>90</v>
      </c>
      <c r="D46" s="1" t="s">
        <v>75</v>
      </c>
      <c r="E46" s="1">
        <v>23</v>
      </c>
      <c r="F46" s="1">
        <v>3.35</v>
      </c>
      <c r="G46" s="1">
        <v>2085</v>
      </c>
      <c r="H46" s="2">
        <v>24.400417710944001</v>
      </c>
      <c r="I46" s="2">
        <v>57.982497911445201</v>
      </c>
      <c r="J46" s="2">
        <v>63.042021720968997</v>
      </c>
      <c r="K46" s="2">
        <v>35.5954887218045</v>
      </c>
      <c r="L46" s="2">
        <v>57.919172932330802</v>
      </c>
      <c r="M46" s="2">
        <v>70.796783625730995</v>
      </c>
      <c r="N46" s="2">
        <v>72.258020050125296</v>
      </c>
      <c r="O46" s="2">
        <v>50.724185463659097</v>
      </c>
      <c r="P46" s="2">
        <v>44.4295321637426</v>
      </c>
      <c r="Q46" s="2">
        <v>54.942314118629902</v>
      </c>
      <c r="R46" s="2">
        <v>60.8586466165413</v>
      </c>
      <c r="S46" s="2">
        <v>64.204177109440195</v>
      </c>
      <c r="T46" s="2">
        <v>59.919757727652403</v>
      </c>
      <c r="U46" s="2">
        <v>49.799749373433499</v>
      </c>
      <c r="V46" s="2">
        <v>45.948955722639901</v>
      </c>
      <c r="W46" s="2">
        <v>55.4803258145363</v>
      </c>
      <c r="X46" s="2">
        <v>50.810735171261399</v>
      </c>
      <c r="Y46" s="2">
        <v>43.8405597326649</v>
      </c>
      <c r="Z46" s="2">
        <v>0.56665985589151302</v>
      </c>
      <c r="AA46" s="2">
        <f>MAX(120*16*Z46/SUM(Z:Z),0.75)</f>
        <v>8.093564716488439</v>
      </c>
      <c r="AB46" s="2">
        <f>AA46-F46</f>
        <v>4.7435647164884394</v>
      </c>
    </row>
    <row r="47" spans="1:28" hidden="1" x14ac:dyDescent="0.25">
      <c r="A47" s="1">
        <v>1</v>
      </c>
      <c r="B47" s="1">
        <v>1</v>
      </c>
      <c r="C47" s="1" t="s">
        <v>91</v>
      </c>
      <c r="D47" s="1" t="s">
        <v>43</v>
      </c>
      <c r="E47" s="1">
        <v>20</v>
      </c>
      <c r="F47" s="1">
        <v>3.09</v>
      </c>
      <c r="G47" s="1">
        <v>2086</v>
      </c>
      <c r="H47" s="2">
        <v>23.313396449350101</v>
      </c>
      <c r="I47" s="2">
        <v>57.862647881425602</v>
      </c>
      <c r="J47" s="2">
        <v>64.756150820358599</v>
      </c>
      <c r="K47" s="2">
        <v>60.411540359851003</v>
      </c>
      <c r="L47" s="2">
        <v>61.487593664468001</v>
      </c>
      <c r="M47" s="2">
        <v>55.159816634510399</v>
      </c>
      <c r="N47" s="2">
        <v>54.811534377290201</v>
      </c>
      <c r="O47" s="2">
        <v>46.427992402147702</v>
      </c>
      <c r="P47" s="2">
        <v>55.860942851587602</v>
      </c>
      <c r="Q47" s="2">
        <v>57.335075754176501</v>
      </c>
      <c r="R47" s="2">
        <v>39.495161603924501</v>
      </c>
      <c r="S47" s="2">
        <v>37.6273986329848</v>
      </c>
      <c r="T47" s="2">
        <v>39.673329743796799</v>
      </c>
      <c r="U47" s="2">
        <v>48.787469526330703</v>
      </c>
      <c r="V47" s="2">
        <v>52.1590613362049</v>
      </c>
      <c r="W47" s="2">
        <v>51.035992581624498</v>
      </c>
      <c r="X47" s="2">
        <v>51.972450307354002</v>
      </c>
      <c r="Y47" s="2">
        <v>60.123136058389797</v>
      </c>
      <c r="Z47" s="2">
        <v>1.06090719484268</v>
      </c>
      <c r="AA47" s="2">
        <f>MAX(120*16*Z47/SUM(Z:Z),0.75)</f>
        <v>15.152866310140258</v>
      </c>
      <c r="AB47" s="2">
        <f>AA47-F47</f>
        <v>12.062866310140258</v>
      </c>
    </row>
    <row r="48" spans="1:28" x14ac:dyDescent="0.25">
      <c r="A48" s="1">
        <v>1</v>
      </c>
      <c r="B48" s="1">
        <v>134</v>
      </c>
      <c r="C48" s="1" t="s">
        <v>85</v>
      </c>
      <c r="D48" s="1" t="s">
        <v>55</v>
      </c>
      <c r="E48" s="1">
        <v>32</v>
      </c>
      <c r="F48" s="1">
        <v>7.09</v>
      </c>
      <c r="G48" s="1">
        <v>2085</v>
      </c>
      <c r="H48" s="2">
        <v>30.4830046449378</v>
      </c>
      <c r="I48" s="2">
        <v>57.682015299427903</v>
      </c>
      <c r="J48" s="2">
        <v>57.818309452579598</v>
      </c>
      <c r="K48" s="2">
        <v>50.899946858762398</v>
      </c>
      <c r="L48" s="2">
        <v>53.061584789796797</v>
      </c>
      <c r="M48" s="2">
        <v>49.352546186952097</v>
      </c>
      <c r="N48" s="2">
        <v>44.215051435469398</v>
      </c>
      <c r="O48" s="2">
        <v>48.244393927465403</v>
      </c>
      <c r="P48" s="2">
        <v>50.008269695061102</v>
      </c>
      <c r="Q48" s="2">
        <v>58.659679578019201</v>
      </c>
      <c r="R48" s="2">
        <v>61.533987429801002</v>
      </c>
      <c r="S48" s="2">
        <v>59.099616858237503</v>
      </c>
      <c r="T48" s="2">
        <v>63.651724793995697</v>
      </c>
      <c r="U48" s="2">
        <v>52.792096389020003</v>
      </c>
      <c r="V48" s="2">
        <v>51.767080643468198</v>
      </c>
      <c r="W48" s="2">
        <v>57.8216553823544</v>
      </c>
      <c r="X48" s="2">
        <v>51.652351335747603</v>
      </c>
      <c r="Y48" s="2">
        <v>50.607994803967799</v>
      </c>
      <c r="Z48" s="2">
        <v>1.11732647821154</v>
      </c>
      <c r="AA48" s="2">
        <f>MAX(120*16*Z48/SUM(Z:Z),0.75)</f>
        <v>15.95869915052271</v>
      </c>
      <c r="AB48" s="2">
        <f>AA48-F48</f>
        <v>8.8686991505227102</v>
      </c>
    </row>
    <row r="49" spans="1:28" hidden="1" x14ac:dyDescent="0.25">
      <c r="A49" s="1">
        <v>1</v>
      </c>
      <c r="B49" s="1">
        <v>146</v>
      </c>
      <c r="C49" s="1" t="s">
        <v>87</v>
      </c>
      <c r="D49" s="1" t="s">
        <v>43</v>
      </c>
      <c r="E49" s="1">
        <v>28</v>
      </c>
      <c r="F49" s="1">
        <v>4.34</v>
      </c>
      <c r="G49" s="1">
        <v>2087</v>
      </c>
      <c r="H49" s="2">
        <v>29.1167907361455</v>
      </c>
      <c r="I49" s="2">
        <v>57.582961124896599</v>
      </c>
      <c r="J49" s="2">
        <v>58.533498759305203</v>
      </c>
      <c r="K49" s="2">
        <v>50.875392886683201</v>
      </c>
      <c r="L49" s="2">
        <v>64.703060380479698</v>
      </c>
      <c r="M49" s="2">
        <v>40.840715467328302</v>
      </c>
      <c r="N49" s="2">
        <v>36.664019851116599</v>
      </c>
      <c r="O49" s="2">
        <v>52.099152191894099</v>
      </c>
      <c r="P49" s="2">
        <v>68.711042183622794</v>
      </c>
      <c r="Q49" s="2">
        <v>65.962158808932998</v>
      </c>
      <c r="R49" s="2">
        <v>46.206699751861002</v>
      </c>
      <c r="S49" s="2">
        <v>48.225868486352297</v>
      </c>
      <c r="T49" s="2">
        <v>47.518238213399499</v>
      </c>
      <c r="U49" s="2">
        <v>52.757464846980902</v>
      </c>
      <c r="V49" s="2">
        <v>58.732919768403598</v>
      </c>
      <c r="W49" s="2">
        <v>55.314598842018199</v>
      </c>
      <c r="X49" s="2">
        <v>55.673180314309299</v>
      </c>
      <c r="Y49" s="2">
        <v>72.831658395367995</v>
      </c>
      <c r="Z49" s="2">
        <v>0.53696272961296698</v>
      </c>
      <c r="AA49" s="2">
        <f>MAX(120*16*Z49/SUM(Z:Z),0.75)</f>
        <v>7.6694026536032975</v>
      </c>
      <c r="AB49" s="2">
        <f>AA49-F49</f>
        <v>3.3294026536032977</v>
      </c>
    </row>
    <row r="50" spans="1:28" hidden="1" x14ac:dyDescent="0.25">
      <c r="A50" s="1">
        <v>1</v>
      </c>
      <c r="B50" s="1">
        <v>120</v>
      </c>
      <c r="C50" s="1" t="s">
        <v>93</v>
      </c>
      <c r="D50" s="1" t="s">
        <v>60</v>
      </c>
      <c r="E50" s="1">
        <v>26</v>
      </c>
      <c r="F50" s="1">
        <v>15.399999999999901</v>
      </c>
      <c r="G50" s="1">
        <v>2088</v>
      </c>
      <c r="H50" s="2">
        <v>25.554092071611201</v>
      </c>
      <c r="I50" s="2">
        <v>57.567068059107697</v>
      </c>
      <c r="J50" s="2">
        <v>60.548749644785403</v>
      </c>
      <c r="K50" s="2">
        <v>65.882306763285001</v>
      </c>
      <c r="L50" s="2">
        <v>62.002212986643897</v>
      </c>
      <c r="M50" s="2">
        <v>50.014375532821802</v>
      </c>
      <c r="N50" s="2">
        <v>50.319227763569103</v>
      </c>
      <c r="O50" s="2">
        <v>47.811167945439003</v>
      </c>
      <c r="P50" s="2">
        <v>58.652568201193503</v>
      </c>
      <c r="Q50" s="2">
        <v>58.484651179312301</v>
      </c>
      <c r="R50" s="2">
        <v>40.464137539073597</v>
      </c>
      <c r="S50" s="2">
        <v>39.207019039499798</v>
      </c>
      <c r="T50" s="2">
        <v>39.427564649048001</v>
      </c>
      <c r="U50" s="2">
        <v>47.697105001420802</v>
      </c>
      <c r="V50" s="2">
        <v>52.864968741119597</v>
      </c>
      <c r="W50" s="2">
        <v>48.0055910770105</v>
      </c>
      <c r="X50" s="2">
        <v>47.753207587382697</v>
      </c>
      <c r="Y50" s="2">
        <v>57.751047882921199</v>
      </c>
      <c r="Z50" s="2">
        <v>0.48453741519446403</v>
      </c>
      <c r="AA50" s="2">
        <f>MAX(120*16*Z50/SUM(Z:Z),0.75)</f>
        <v>6.9206154038679957</v>
      </c>
      <c r="AB50" s="2">
        <f>AA50-F50</f>
        <v>-8.4793845961319043</v>
      </c>
    </row>
    <row r="51" spans="1:28" hidden="1" x14ac:dyDescent="0.25">
      <c r="A51" s="1">
        <v>1</v>
      </c>
      <c r="B51" s="1">
        <v>89</v>
      </c>
      <c r="C51" s="1" t="s">
        <v>95</v>
      </c>
      <c r="D51" s="1" t="s">
        <v>43</v>
      </c>
      <c r="E51" s="1">
        <v>22</v>
      </c>
      <c r="F51" s="1">
        <v>3.61</v>
      </c>
      <c r="G51" s="1">
        <v>2087</v>
      </c>
      <c r="H51" s="2">
        <v>23.753590325018799</v>
      </c>
      <c r="I51" s="2">
        <v>57.565381708238803</v>
      </c>
      <c r="J51" s="2">
        <v>63.894179894179899</v>
      </c>
      <c r="K51" s="2">
        <v>62.3114134542705</v>
      </c>
      <c r="L51" s="2">
        <v>58.638699924414198</v>
      </c>
      <c r="M51" s="2">
        <v>52.678004535147302</v>
      </c>
      <c r="N51" s="2">
        <v>54.083144368858598</v>
      </c>
      <c r="O51" s="2">
        <v>46.077853363567598</v>
      </c>
      <c r="P51" s="2">
        <v>50.079743008314402</v>
      </c>
      <c r="Q51" s="2">
        <v>54.659486016628797</v>
      </c>
      <c r="R51" s="2">
        <v>42.504157218442899</v>
      </c>
      <c r="S51" s="2">
        <v>40.219198790627303</v>
      </c>
      <c r="T51" s="2">
        <v>43.101284958427797</v>
      </c>
      <c r="U51" s="2">
        <v>46.0400604686319</v>
      </c>
      <c r="V51" s="2">
        <v>53.901738473167001</v>
      </c>
      <c r="W51" s="2">
        <v>52.519274376417201</v>
      </c>
      <c r="X51" s="2">
        <v>51.222600151171498</v>
      </c>
      <c r="Y51" s="2">
        <v>59.662131519274297</v>
      </c>
      <c r="Z51" s="2">
        <v>0.77829691733601203</v>
      </c>
      <c r="AA51" s="2">
        <f>MAX(120*16*Z51/SUM(Z:Z),0.75)</f>
        <v>11.11636267085143</v>
      </c>
      <c r="AB51" s="2">
        <f>AA51-F51</f>
        <v>7.5063626708514306</v>
      </c>
    </row>
    <row r="52" spans="1:28" hidden="1" x14ac:dyDescent="0.25">
      <c r="A52" s="1">
        <v>1</v>
      </c>
      <c r="B52" s="1">
        <v>139</v>
      </c>
      <c r="C52" s="1" t="s">
        <v>88</v>
      </c>
      <c r="D52" s="1" t="s">
        <v>60</v>
      </c>
      <c r="E52" s="1">
        <v>34</v>
      </c>
      <c r="F52" s="1">
        <v>9.39</v>
      </c>
      <c r="G52" s="1">
        <v>2085</v>
      </c>
      <c r="H52" s="2">
        <v>32.117193917193902</v>
      </c>
      <c r="I52" s="2">
        <v>57.518770118770099</v>
      </c>
      <c r="J52" s="2">
        <v>57.578743478743398</v>
      </c>
      <c r="K52" s="2">
        <v>60.585103785103698</v>
      </c>
      <c r="L52" s="2">
        <v>57.6311688311688</v>
      </c>
      <c r="M52" s="2">
        <v>27.093162393162299</v>
      </c>
      <c r="N52" s="2">
        <v>19.1685758685758</v>
      </c>
      <c r="O52" s="2">
        <v>43.7016872016872</v>
      </c>
      <c r="P52" s="2">
        <v>61.158596958596902</v>
      </c>
      <c r="Q52" s="2">
        <v>56.451037851037803</v>
      </c>
      <c r="R52" s="2">
        <v>47.1257631257631</v>
      </c>
      <c r="S52" s="2">
        <v>46.426973026973002</v>
      </c>
      <c r="T52" s="2">
        <v>48.057953157953101</v>
      </c>
      <c r="U52" s="2">
        <v>63.870018870018797</v>
      </c>
      <c r="V52" s="2">
        <v>60.925840825840801</v>
      </c>
      <c r="W52" s="2">
        <v>60.726751026751003</v>
      </c>
      <c r="X52" s="2">
        <v>61.519436119436101</v>
      </c>
      <c r="Y52" s="2">
        <v>77.186679986679906</v>
      </c>
      <c r="Z52" s="2">
        <v>3.415361513678</v>
      </c>
      <c r="AA52" s="2">
        <f>MAX(120*16*Z52/SUM(Z:Z),0.75)</f>
        <v>48.781379435583226</v>
      </c>
      <c r="AB52" s="2">
        <f>AA52-F52</f>
        <v>39.391379435583225</v>
      </c>
    </row>
    <row r="53" spans="1:28" hidden="1" x14ac:dyDescent="0.25">
      <c r="A53" s="1">
        <v>1</v>
      </c>
      <c r="B53" s="1">
        <v>35</v>
      </c>
      <c r="C53" s="1" t="s">
        <v>92</v>
      </c>
      <c r="D53" s="1" t="s">
        <v>75</v>
      </c>
      <c r="E53" s="1">
        <v>27</v>
      </c>
      <c r="F53" s="1">
        <v>9.94</v>
      </c>
      <c r="G53" s="1">
        <v>2087</v>
      </c>
      <c r="H53" s="2">
        <v>27.047000547968899</v>
      </c>
      <c r="I53" s="2">
        <v>57.4987325579783</v>
      </c>
      <c r="J53" s="2">
        <v>59.426930837150699</v>
      </c>
      <c r="K53" s="2">
        <v>25.549897429127199</v>
      </c>
      <c r="L53" s="2">
        <v>48.780472410756097</v>
      </c>
      <c r="M53" s="2">
        <v>65.810235144403904</v>
      </c>
      <c r="N53" s="2">
        <v>63.654230664199901</v>
      </c>
      <c r="O53" s="2">
        <v>50.548954608997803</v>
      </c>
      <c r="P53" s="2">
        <v>39.9453022660838</v>
      </c>
      <c r="Q53" s="2">
        <v>37.612556688265897</v>
      </c>
      <c r="R53" s="2">
        <v>54.190970206522202</v>
      </c>
      <c r="S53" s="2">
        <v>54.224849037256398</v>
      </c>
      <c r="T53" s="2">
        <v>56.706144245451497</v>
      </c>
      <c r="U53" s="2">
        <v>53.3176242861784</v>
      </c>
      <c r="V53" s="2">
        <v>51.753048642646398</v>
      </c>
      <c r="W53" s="2">
        <v>74.396771443883196</v>
      </c>
      <c r="X53" s="2">
        <v>76.261646752304102</v>
      </c>
      <c r="Y53" s="2">
        <v>52.060691333107798</v>
      </c>
      <c r="Z53" s="2">
        <v>2.6900523414700901</v>
      </c>
      <c r="AA53" s="2">
        <f>MAX(120*16*Z53/SUM(Z:Z),0.75)</f>
        <v>38.421837174570733</v>
      </c>
      <c r="AB53" s="2">
        <f>AA53-F53</f>
        <v>28.481837174570735</v>
      </c>
    </row>
    <row r="54" spans="1:28" hidden="1" x14ac:dyDescent="0.25">
      <c r="A54" s="1">
        <v>1</v>
      </c>
      <c r="B54" s="1">
        <v>33</v>
      </c>
      <c r="C54" s="1" t="s">
        <v>94</v>
      </c>
      <c r="D54" s="1" t="s">
        <v>53</v>
      </c>
      <c r="E54" s="1">
        <v>26</v>
      </c>
      <c r="F54" s="1">
        <v>6.56</v>
      </c>
      <c r="G54" s="1">
        <v>2085</v>
      </c>
      <c r="H54" s="2">
        <v>25.751733855723899</v>
      </c>
      <c r="I54" s="2">
        <v>57.432503350860898</v>
      </c>
      <c r="J54" s="2">
        <v>60.3634996735058</v>
      </c>
      <c r="K54" s="2">
        <v>45.295831185345499</v>
      </c>
      <c r="L54" s="2">
        <v>56.160198645908501</v>
      </c>
      <c r="M54" s="2">
        <v>67.359002646320903</v>
      </c>
      <c r="N54" s="2">
        <v>65.267606626112595</v>
      </c>
      <c r="O54" s="2">
        <v>49.951347217926198</v>
      </c>
      <c r="P54" s="2">
        <v>43.487141286043197</v>
      </c>
      <c r="Q54" s="2">
        <v>56.8681805684434</v>
      </c>
      <c r="R54" s="2">
        <v>57.292372065848703</v>
      </c>
      <c r="S54" s="2">
        <v>58.293404818366099</v>
      </c>
      <c r="T54" s="2">
        <v>58.160951300821303</v>
      </c>
      <c r="U54" s="2">
        <v>44.866529195449701</v>
      </c>
      <c r="V54" s="2">
        <v>47.685849056603701</v>
      </c>
      <c r="W54" s="2">
        <v>53.908956249785199</v>
      </c>
      <c r="X54" s="2">
        <v>46.913609650479401</v>
      </c>
      <c r="Y54" s="2">
        <v>44.123370106883797</v>
      </c>
      <c r="Z54" s="2">
        <v>0.47713854364512998</v>
      </c>
      <c r="AA54" s="2">
        <f>MAX(120*16*Z54/SUM(Z:Z),0.75)</f>
        <v>6.8149378177624698</v>
      </c>
      <c r="AB54" s="2">
        <f>AA54-F54</f>
        <v>0.25493781776247015</v>
      </c>
    </row>
    <row r="55" spans="1:28" hidden="1" x14ac:dyDescent="0.25">
      <c r="A55" s="1">
        <v>1</v>
      </c>
      <c r="B55" s="1">
        <v>98</v>
      </c>
      <c r="C55" s="1" t="s">
        <v>98</v>
      </c>
      <c r="D55" s="1" t="s">
        <v>53</v>
      </c>
      <c r="E55" s="1">
        <v>23</v>
      </c>
      <c r="F55" s="1">
        <v>20.89</v>
      </c>
      <c r="G55" s="1">
        <v>2085</v>
      </c>
      <c r="H55" s="2">
        <v>23.8981173864894</v>
      </c>
      <c r="I55" s="2">
        <v>57.321862310815703</v>
      </c>
      <c r="J55" s="2">
        <v>63.0437707641196</v>
      </c>
      <c r="K55" s="2">
        <v>45.539184200812102</v>
      </c>
      <c r="L55" s="2">
        <v>56.0938353636028</v>
      </c>
      <c r="M55" s="2">
        <v>60.022628276116599</v>
      </c>
      <c r="N55" s="2">
        <v>57.048468069398297</v>
      </c>
      <c r="O55" s="2">
        <v>50.034588409007</v>
      </c>
      <c r="P55" s="2">
        <v>44.3703119232189</v>
      </c>
      <c r="Q55" s="2">
        <v>56.888962716869599</v>
      </c>
      <c r="R55" s="2">
        <v>46.110280546326997</v>
      </c>
      <c r="S55" s="2">
        <v>44.9020302694721</v>
      </c>
      <c r="T55" s="2">
        <v>46.666998892580203</v>
      </c>
      <c r="U55" s="2">
        <v>52.714839424141701</v>
      </c>
      <c r="V55" s="2">
        <v>52.595865633074901</v>
      </c>
      <c r="W55" s="2">
        <v>56.729540420819397</v>
      </c>
      <c r="X55" s="2">
        <v>50.426790328534501</v>
      </c>
      <c r="Y55" s="2">
        <v>54.415854558877797</v>
      </c>
      <c r="Z55" s="2">
        <v>0.24825003126766701</v>
      </c>
      <c r="AA55" s="2">
        <f>MAX(120*16*Z55/SUM(Z:Z),0.75)</f>
        <v>3.5457385467584772</v>
      </c>
      <c r="AB55" s="2">
        <f>AA55-F55</f>
        <v>-17.344261453241522</v>
      </c>
    </row>
    <row r="56" spans="1:28" hidden="1" x14ac:dyDescent="0.25">
      <c r="A56" s="1">
        <v>1</v>
      </c>
      <c r="B56" s="1">
        <v>145</v>
      </c>
      <c r="C56" s="1" t="s">
        <v>100</v>
      </c>
      <c r="D56" s="1" t="s">
        <v>60</v>
      </c>
      <c r="E56" s="1">
        <v>28</v>
      </c>
      <c r="F56" s="1">
        <v>5.34</v>
      </c>
      <c r="G56" s="1">
        <v>2086</v>
      </c>
      <c r="H56" s="2">
        <v>27.5000625782227</v>
      </c>
      <c r="I56" s="2">
        <v>57.1182832707551</v>
      </c>
      <c r="J56" s="2">
        <v>58.468742177722099</v>
      </c>
      <c r="K56" s="2">
        <v>58.3064768460575</v>
      </c>
      <c r="L56" s="2">
        <v>63.558854818523102</v>
      </c>
      <c r="M56" s="2">
        <v>47.471526908635703</v>
      </c>
      <c r="N56" s="2">
        <v>43.938944513975798</v>
      </c>
      <c r="O56" s="2">
        <v>51.015978306216098</v>
      </c>
      <c r="P56" s="2">
        <v>66.203118481435098</v>
      </c>
      <c r="Q56" s="2">
        <v>60.785826032540598</v>
      </c>
      <c r="R56" s="2">
        <v>41.489382561535201</v>
      </c>
      <c r="S56" s="2">
        <v>42.313026700041704</v>
      </c>
      <c r="T56" s="2">
        <v>39.418690029203098</v>
      </c>
      <c r="U56" s="2">
        <v>47.374707968293698</v>
      </c>
      <c r="V56" s="2">
        <v>55.745848977888997</v>
      </c>
      <c r="W56" s="2">
        <v>50.5770337922403</v>
      </c>
      <c r="X56" s="2">
        <v>51.580267000417102</v>
      </c>
      <c r="Y56" s="2">
        <v>64.831841885690395</v>
      </c>
      <c r="Z56" s="2">
        <v>-0.335820055567078</v>
      </c>
      <c r="AA56" s="2">
        <f>MAX(120*16*Z56/SUM(Z:Z),0.75)</f>
        <v>0.75</v>
      </c>
      <c r="AB56" s="2">
        <f>AA56-F56</f>
        <v>-4.59</v>
      </c>
    </row>
    <row r="57" spans="1:28" hidden="1" x14ac:dyDescent="0.25">
      <c r="A57" s="1">
        <v>1</v>
      </c>
      <c r="B57" s="1">
        <v>32</v>
      </c>
      <c r="C57" s="1" t="s">
        <v>102</v>
      </c>
      <c r="D57" s="1" t="s">
        <v>43</v>
      </c>
      <c r="E57" s="1">
        <v>26</v>
      </c>
      <c r="F57" s="1">
        <v>10.42</v>
      </c>
      <c r="G57" s="1">
        <v>2086</v>
      </c>
      <c r="H57" s="2">
        <v>25.7344288902414</v>
      </c>
      <c r="I57" s="2">
        <v>57.039363726825599</v>
      </c>
      <c r="J57" s="2">
        <v>59.894825570723299</v>
      </c>
      <c r="K57" s="2">
        <v>62.560492324338902</v>
      </c>
      <c r="L57" s="2">
        <v>59.552314291510797</v>
      </c>
      <c r="M57" s="2">
        <v>51.437725221961301</v>
      </c>
      <c r="N57" s="2">
        <v>51.098740206165601</v>
      </c>
      <c r="O57" s="2">
        <v>47.895202349554097</v>
      </c>
      <c r="P57" s="2">
        <v>54.967780579466499</v>
      </c>
      <c r="Q57" s="2">
        <v>56.952588663787601</v>
      </c>
      <c r="R57" s="2">
        <v>42.855027099092801</v>
      </c>
      <c r="S57" s="2">
        <v>42.976596238008199</v>
      </c>
      <c r="T57" s="2">
        <v>40.288941058265401</v>
      </c>
      <c r="U57" s="2">
        <v>46.6202262605184</v>
      </c>
      <c r="V57" s="2">
        <v>52.741843704412098</v>
      </c>
      <c r="W57" s="2">
        <v>50.376513153445501</v>
      </c>
      <c r="X57" s="2">
        <v>48.922151696953797</v>
      </c>
      <c r="Y57" s="2">
        <v>58.190751528852502</v>
      </c>
      <c r="Z57" s="2">
        <v>0.41030198600138201</v>
      </c>
      <c r="AA57" s="2">
        <f>MAX(120*16*Z57/SUM(Z:Z),0.75)</f>
        <v>5.8603157475861263</v>
      </c>
      <c r="AB57" s="2">
        <f>AA57-F57</f>
        <v>-4.5596842524138737</v>
      </c>
    </row>
    <row r="58" spans="1:28" hidden="1" x14ac:dyDescent="0.25">
      <c r="A58" s="1">
        <v>1</v>
      </c>
      <c r="B58" s="1">
        <v>96</v>
      </c>
      <c r="C58" s="1" t="s">
        <v>99</v>
      </c>
      <c r="D58" s="1" t="s">
        <v>60</v>
      </c>
      <c r="E58" s="1">
        <v>26</v>
      </c>
      <c r="F58" s="1">
        <v>26.74</v>
      </c>
      <c r="G58" s="1">
        <v>2088</v>
      </c>
      <c r="H58" s="2">
        <v>25.699159110284398</v>
      </c>
      <c r="I58" s="2">
        <v>57.035818543491096</v>
      </c>
      <c r="J58" s="2">
        <v>60.3588351546152</v>
      </c>
      <c r="K58" s="2">
        <v>67.373900126585497</v>
      </c>
      <c r="L58" s="2">
        <v>59.194474153297598</v>
      </c>
      <c r="M58" s="2">
        <v>48.773473869126001</v>
      </c>
      <c r="N58" s="2">
        <v>48.138222377224899</v>
      </c>
      <c r="O58" s="2">
        <v>48.5232013226898</v>
      </c>
      <c r="P58" s="2">
        <v>47.571243121754598</v>
      </c>
      <c r="Q58" s="2">
        <v>56.631151670154203</v>
      </c>
      <c r="R58" s="2">
        <v>34.814344209356904</v>
      </c>
      <c r="S58" s="2">
        <v>36.3539667777519</v>
      </c>
      <c r="T58" s="2">
        <v>34.811348781936999</v>
      </c>
      <c r="U58" s="2">
        <v>51.953872484435102</v>
      </c>
      <c r="V58" s="2">
        <v>51.624159756129004</v>
      </c>
      <c r="W58" s="2">
        <v>49.379445348626902</v>
      </c>
      <c r="X58" s="2">
        <v>47.110456224650598</v>
      </c>
      <c r="Y58" s="2">
        <v>60.057322586478598</v>
      </c>
      <c r="Z58" s="2">
        <v>1.12956471009181</v>
      </c>
      <c r="AA58" s="2">
        <f>MAX(120*16*Z58/SUM(Z:Z),0.75)</f>
        <v>16.133496995664789</v>
      </c>
      <c r="AB58" s="2">
        <f>AA58-F58</f>
        <v>-10.60650300433521</v>
      </c>
    </row>
    <row r="59" spans="1:28" hidden="1" x14ac:dyDescent="0.25">
      <c r="A59" s="1">
        <v>1</v>
      </c>
      <c r="B59" s="1">
        <v>7</v>
      </c>
      <c r="C59" s="1" t="s">
        <v>103</v>
      </c>
      <c r="D59" s="1" t="s">
        <v>53</v>
      </c>
      <c r="E59" s="1">
        <v>21</v>
      </c>
      <c r="F59" s="1">
        <v>0.75</v>
      </c>
      <c r="G59" s="1">
        <v>2085</v>
      </c>
      <c r="H59" s="2">
        <v>23.1863892615095</v>
      </c>
      <c r="I59" s="2">
        <v>56.906077662922897</v>
      </c>
      <c r="J59" s="2">
        <v>64.136558913525604</v>
      </c>
      <c r="K59" s="2">
        <v>54.181209833679603</v>
      </c>
      <c r="L59" s="2">
        <v>53.035585277536597</v>
      </c>
      <c r="M59" s="2">
        <v>68.245622802633704</v>
      </c>
      <c r="N59" s="2">
        <v>68.736859640355206</v>
      </c>
      <c r="O59" s="2">
        <v>44.951953847637498</v>
      </c>
      <c r="P59" s="2">
        <v>37.683175955881701</v>
      </c>
      <c r="Q59" s="2">
        <v>53.915658398870697</v>
      </c>
      <c r="R59" s="2">
        <v>52.465258598770703</v>
      </c>
      <c r="S59" s="2">
        <v>52.074464960502198</v>
      </c>
      <c r="T59" s="2">
        <v>55.061436387069598</v>
      </c>
      <c r="U59" s="2">
        <v>43.327040427154799</v>
      </c>
      <c r="V59" s="2">
        <v>44.276293870608498</v>
      </c>
      <c r="W59" s="2">
        <v>52.4029914867127</v>
      </c>
      <c r="X59" s="2">
        <v>45.581463654137799</v>
      </c>
      <c r="Y59" s="2">
        <v>42.784434537117399</v>
      </c>
      <c r="Z59" s="2">
        <v>1.0278710307151</v>
      </c>
      <c r="AA59" s="2">
        <f>MAX(120*16*Z59/SUM(Z:Z),0.75)</f>
        <v>14.681012993602703</v>
      </c>
      <c r="AB59" s="2">
        <f>AA59-F59</f>
        <v>13.931012993602703</v>
      </c>
    </row>
    <row r="60" spans="1:28" hidden="1" x14ac:dyDescent="0.25">
      <c r="A60" s="1">
        <v>1</v>
      </c>
      <c r="B60" s="1">
        <v>105</v>
      </c>
      <c r="C60" s="1" t="s">
        <v>106</v>
      </c>
      <c r="D60" s="1" t="s">
        <v>41</v>
      </c>
      <c r="E60" s="1">
        <v>23</v>
      </c>
      <c r="F60" s="1">
        <v>22.8</v>
      </c>
      <c r="G60" s="1">
        <v>2088</v>
      </c>
      <c r="H60" s="2">
        <v>24.708084066471098</v>
      </c>
      <c r="I60" s="2">
        <v>56.874369501466198</v>
      </c>
      <c r="J60" s="2">
        <v>61.7059139784946</v>
      </c>
      <c r="K60" s="2">
        <v>43.8192961876832</v>
      </c>
      <c r="L60" s="2">
        <v>52.733000977517101</v>
      </c>
      <c r="M60" s="2">
        <v>66.534261974584496</v>
      </c>
      <c r="N60" s="2">
        <v>64.680430107526803</v>
      </c>
      <c r="O60" s="2">
        <v>49.5873509286412</v>
      </c>
      <c r="P60" s="2">
        <v>42.6662561094819</v>
      </c>
      <c r="Q60" s="2">
        <v>52.8509188660801</v>
      </c>
      <c r="R60" s="2">
        <v>50.6352785923753</v>
      </c>
      <c r="S60" s="2">
        <v>50.007517106549301</v>
      </c>
      <c r="T60" s="2">
        <v>52.048220918866001</v>
      </c>
      <c r="U60" s="2">
        <v>49.047478005865102</v>
      </c>
      <c r="V60" s="2">
        <v>48.753049853372403</v>
      </c>
      <c r="W60" s="2">
        <v>55.271534701857199</v>
      </c>
      <c r="X60" s="2">
        <v>48.835298142717498</v>
      </c>
      <c r="Y60" s="2">
        <v>45.354740957966698</v>
      </c>
      <c r="Z60" s="2">
        <v>-0.34710287326363298</v>
      </c>
      <c r="AA60" s="2">
        <f>MAX(120*16*Z60/SUM(Z:Z),0.75)</f>
        <v>0.75</v>
      </c>
      <c r="AB60" s="2">
        <f>AA60-F60</f>
        <v>-22.05</v>
      </c>
    </row>
    <row r="61" spans="1:28" hidden="1" x14ac:dyDescent="0.25">
      <c r="A61" s="1">
        <v>1</v>
      </c>
      <c r="B61" s="1">
        <v>119</v>
      </c>
      <c r="C61" s="1" t="s">
        <v>101</v>
      </c>
      <c r="D61" s="1" t="s">
        <v>37</v>
      </c>
      <c r="E61" s="1">
        <v>24</v>
      </c>
      <c r="F61" s="1">
        <v>20.98</v>
      </c>
      <c r="G61" s="1">
        <v>2088</v>
      </c>
      <c r="H61" s="2">
        <v>24.543589743589699</v>
      </c>
      <c r="I61" s="2">
        <v>56.7515669515669</v>
      </c>
      <c r="J61" s="2">
        <v>61.939458689458597</v>
      </c>
      <c r="K61" s="2">
        <v>38.106552706552698</v>
      </c>
      <c r="L61" s="2">
        <v>54.494586894586803</v>
      </c>
      <c r="M61" s="2">
        <v>62.064672364672298</v>
      </c>
      <c r="N61" s="2">
        <v>58.921509971509899</v>
      </c>
      <c r="O61" s="2">
        <v>48.894871794871797</v>
      </c>
      <c r="P61" s="2">
        <v>43.845299145299101</v>
      </c>
      <c r="Q61" s="2">
        <v>50.807549857549802</v>
      </c>
      <c r="R61" s="2">
        <v>49.8878917378917</v>
      </c>
      <c r="S61" s="2">
        <v>45.803846153846102</v>
      </c>
      <c r="T61" s="2">
        <v>50.774928774928703</v>
      </c>
      <c r="U61" s="2">
        <v>52.103561253561203</v>
      </c>
      <c r="V61" s="2">
        <v>52.896581196581103</v>
      </c>
      <c r="W61" s="2">
        <v>60.0215099715099</v>
      </c>
      <c r="X61" s="2">
        <v>54.517948717948698</v>
      </c>
      <c r="Y61" s="2">
        <v>52.277492877492797</v>
      </c>
      <c r="Z61" s="2">
        <v>-0.27925431838268699</v>
      </c>
      <c r="AA61" s="2">
        <f>MAX(120*16*Z61/SUM(Z:Z),0.75)</f>
        <v>0.75</v>
      </c>
      <c r="AB61" s="2">
        <f>AA61-F61</f>
        <v>-20.23</v>
      </c>
    </row>
    <row r="62" spans="1:28" hidden="1" x14ac:dyDescent="0.25">
      <c r="A62" s="1">
        <v>1</v>
      </c>
      <c r="B62" s="1">
        <v>144</v>
      </c>
      <c r="C62" s="1" t="s">
        <v>97</v>
      </c>
      <c r="D62" s="1" t="s">
        <v>46</v>
      </c>
      <c r="E62" s="1">
        <v>28</v>
      </c>
      <c r="F62" s="1">
        <v>4.32</v>
      </c>
      <c r="G62" s="1">
        <v>2085</v>
      </c>
      <c r="H62" s="2">
        <v>27.442054958183899</v>
      </c>
      <c r="I62" s="2">
        <v>56.740357810250202</v>
      </c>
      <c r="J62" s="2">
        <v>58.162959899519002</v>
      </c>
      <c r="K62" s="2">
        <v>51.882792635480797</v>
      </c>
      <c r="L62" s="2">
        <v>50.0749854486413</v>
      </c>
      <c r="M62" s="2">
        <v>59.023887203994697</v>
      </c>
      <c r="N62" s="2">
        <v>56.240664154642602</v>
      </c>
      <c r="O62" s="2">
        <v>45.787665043041301</v>
      </c>
      <c r="P62" s="2">
        <v>40.929954354685499</v>
      </c>
      <c r="Q62" s="2">
        <v>53.061605857304698</v>
      </c>
      <c r="R62" s="2">
        <v>48.299053395827499</v>
      </c>
      <c r="S62" s="2">
        <v>43.855374812363998</v>
      </c>
      <c r="T62" s="2">
        <v>50.8452041785375</v>
      </c>
      <c r="U62" s="2">
        <v>51.026927672088902</v>
      </c>
      <c r="V62" s="2">
        <v>48.793745979229797</v>
      </c>
      <c r="W62" s="2">
        <v>58.388858254449602</v>
      </c>
      <c r="X62" s="2">
        <v>50.211423582391298</v>
      </c>
      <c r="Y62" s="2">
        <v>50.049957111784998</v>
      </c>
      <c r="Z62" s="2">
        <v>0.46283373065535699</v>
      </c>
      <c r="AA62" s="2">
        <f>MAX(120*16*Z62/SUM(Z:Z),0.75)</f>
        <v>6.6106231332365235</v>
      </c>
      <c r="AB62" s="2">
        <f>AA62-F62</f>
        <v>2.2906231332365232</v>
      </c>
    </row>
    <row r="63" spans="1:28" hidden="1" x14ac:dyDescent="0.25">
      <c r="A63" s="1">
        <v>1</v>
      </c>
      <c r="B63" s="1">
        <v>129</v>
      </c>
      <c r="C63" s="1" t="s">
        <v>110</v>
      </c>
      <c r="D63" s="1" t="s">
        <v>60</v>
      </c>
      <c r="E63" s="1">
        <v>27</v>
      </c>
      <c r="F63" s="1">
        <v>5.2</v>
      </c>
      <c r="G63" s="1">
        <v>2087</v>
      </c>
      <c r="H63" s="2">
        <v>26.577914389799599</v>
      </c>
      <c r="I63" s="2">
        <v>56.519535519125597</v>
      </c>
      <c r="J63" s="2">
        <v>58.975091074681202</v>
      </c>
      <c r="K63" s="2">
        <v>62.002094717668399</v>
      </c>
      <c r="L63" s="2">
        <v>61.1824225865209</v>
      </c>
      <c r="M63" s="2">
        <v>43.881147540983598</v>
      </c>
      <c r="N63" s="2">
        <v>41.227185792349701</v>
      </c>
      <c r="O63" s="2">
        <v>46.6865664845173</v>
      </c>
      <c r="P63" s="2">
        <v>52.681466302367902</v>
      </c>
      <c r="Q63" s="2">
        <v>54.420036429872503</v>
      </c>
      <c r="R63" s="2">
        <v>36.502413479052798</v>
      </c>
      <c r="S63" s="2">
        <v>35.9271402550091</v>
      </c>
      <c r="T63" s="2">
        <v>35.959699453551899</v>
      </c>
      <c r="U63" s="2">
        <v>51.327094717668402</v>
      </c>
      <c r="V63" s="2">
        <v>56.453551912568301</v>
      </c>
      <c r="W63" s="2">
        <v>51.322404371584597</v>
      </c>
      <c r="X63" s="2">
        <v>54.473633879781403</v>
      </c>
      <c r="Y63" s="2">
        <v>69.122495446265901</v>
      </c>
      <c r="Z63" s="2">
        <v>0.85711814571098499</v>
      </c>
      <c r="AA63" s="2">
        <f>MAX(120*16*Z63/SUM(Z:Z),0.75)</f>
        <v>12.242160989284091</v>
      </c>
      <c r="AB63" s="2">
        <f>AA63-F63</f>
        <v>7.0421609892840911</v>
      </c>
    </row>
    <row r="64" spans="1:28" hidden="1" x14ac:dyDescent="0.25">
      <c r="A64" s="1">
        <v>1</v>
      </c>
      <c r="B64" s="1">
        <v>121</v>
      </c>
      <c r="C64" s="1" t="s">
        <v>109</v>
      </c>
      <c r="D64" s="1" t="s">
        <v>37</v>
      </c>
      <c r="E64" s="1">
        <v>26</v>
      </c>
      <c r="F64" s="1">
        <v>3.99</v>
      </c>
      <c r="G64" s="1">
        <v>2085</v>
      </c>
      <c r="H64" s="2">
        <v>25.904665199413099</v>
      </c>
      <c r="I64" s="2">
        <v>56.433420034680502</v>
      </c>
      <c r="J64" s="2">
        <v>59.449446445244703</v>
      </c>
      <c r="K64" s="2">
        <v>42.030085367480297</v>
      </c>
      <c r="L64" s="2">
        <v>52.9943944244364</v>
      </c>
      <c r="M64" s="2">
        <v>59.580358810190702</v>
      </c>
      <c r="N64" s="2">
        <v>56.174803254635101</v>
      </c>
      <c r="O64" s="2">
        <v>47.2486161131119</v>
      </c>
      <c r="P64" s="2">
        <v>45.256059090302699</v>
      </c>
      <c r="Q64" s="2">
        <v>53.175900360143999</v>
      </c>
      <c r="R64" s="2">
        <v>51.9941910097372</v>
      </c>
      <c r="S64" s="2">
        <v>47.295041349873202</v>
      </c>
      <c r="T64" s="2">
        <v>52.641449913298601</v>
      </c>
      <c r="U64" s="2">
        <v>51.782753101240402</v>
      </c>
      <c r="V64" s="2">
        <v>51.231022408963497</v>
      </c>
      <c r="W64" s="2">
        <v>58.470418167266899</v>
      </c>
      <c r="X64" s="2">
        <v>53.308139922635696</v>
      </c>
      <c r="Y64" s="2">
        <v>50.716216486594597</v>
      </c>
      <c r="Z64" s="2">
        <v>-3.67321183203368E-2</v>
      </c>
      <c r="AA64" s="2">
        <f>MAX(120*16*Z64/SUM(Z:Z),0.75)</f>
        <v>0.75</v>
      </c>
      <c r="AB64" s="2">
        <f>AA64-F64</f>
        <v>-3.24</v>
      </c>
    </row>
    <row r="65" spans="1:28" hidden="1" x14ac:dyDescent="0.25">
      <c r="A65" s="1">
        <v>1</v>
      </c>
      <c r="B65" s="1">
        <v>14</v>
      </c>
      <c r="C65" s="1" t="s">
        <v>112</v>
      </c>
      <c r="D65" s="1" t="s">
        <v>41</v>
      </c>
      <c r="E65" s="1">
        <v>25</v>
      </c>
      <c r="F65" s="1">
        <v>3.88</v>
      </c>
      <c r="G65" s="1">
        <v>2085</v>
      </c>
      <c r="H65" s="2">
        <v>25.441078305519898</v>
      </c>
      <c r="I65" s="2">
        <v>56.358985879332401</v>
      </c>
      <c r="J65" s="2">
        <v>59.898513050919902</v>
      </c>
      <c r="K65" s="2">
        <v>40.617543859649103</v>
      </c>
      <c r="L65" s="2">
        <v>53.032573812580203</v>
      </c>
      <c r="M65" s="2">
        <v>67.441067608044406</v>
      </c>
      <c r="N65" s="2">
        <v>64.282060333761194</v>
      </c>
      <c r="O65" s="2">
        <v>48.955969191270803</v>
      </c>
      <c r="P65" s="2">
        <v>41.019084296106101</v>
      </c>
      <c r="Q65" s="2">
        <v>58.713842533162101</v>
      </c>
      <c r="R65" s="2">
        <v>39.923331193838202</v>
      </c>
      <c r="S65" s="2">
        <v>36.654514334616998</v>
      </c>
      <c r="T65" s="2">
        <v>36.614922978177098</v>
      </c>
      <c r="U65" s="2">
        <v>53.401529738981502</v>
      </c>
      <c r="V65" s="2">
        <v>51.584702610183903</v>
      </c>
      <c r="W65" s="2">
        <v>57.624636285836502</v>
      </c>
      <c r="X65" s="2">
        <v>52.722058194266097</v>
      </c>
      <c r="Y65" s="2">
        <v>49.588521608900201</v>
      </c>
      <c r="Z65" s="2">
        <v>0.25589253638104598</v>
      </c>
      <c r="AA65" s="2">
        <f>MAX(120*16*Z65/SUM(Z:Z),0.75)</f>
        <v>3.6548959347190402</v>
      </c>
      <c r="AB65" s="2">
        <f>AA65-F65</f>
        <v>-0.22510406528095972</v>
      </c>
    </row>
    <row r="66" spans="1:28" hidden="1" x14ac:dyDescent="0.25">
      <c r="A66" s="1">
        <v>1</v>
      </c>
      <c r="B66" s="1">
        <v>153</v>
      </c>
      <c r="C66" s="1" t="s">
        <v>104</v>
      </c>
      <c r="D66" s="1" t="s">
        <v>75</v>
      </c>
      <c r="E66" s="1">
        <v>32</v>
      </c>
      <c r="F66" s="1">
        <v>1.51</v>
      </c>
      <c r="G66" s="1">
        <v>2086</v>
      </c>
      <c r="H66" s="2">
        <v>30.0711805555555</v>
      </c>
      <c r="I66" s="2">
        <v>56.350539931881798</v>
      </c>
      <c r="J66" s="2">
        <v>56.663619519777598</v>
      </c>
      <c r="K66" s="2">
        <v>26.1590590781767</v>
      </c>
      <c r="L66" s="2">
        <v>47.436151165011402</v>
      </c>
      <c r="M66" s="2">
        <v>59.849024647737799</v>
      </c>
      <c r="N66" s="2">
        <v>54.197396761735</v>
      </c>
      <c r="O66" s="2">
        <v>48.864481209150298</v>
      </c>
      <c r="P66" s="2">
        <v>41.220594866734501</v>
      </c>
      <c r="Q66" s="2">
        <v>39.391108432009098</v>
      </c>
      <c r="R66" s="2">
        <v>57.988088606654699</v>
      </c>
      <c r="S66" s="2">
        <v>61.653169695908602</v>
      </c>
      <c r="T66" s="2">
        <v>57.135179924242401</v>
      </c>
      <c r="U66" s="2">
        <v>53.5383728301926</v>
      </c>
      <c r="V66" s="2">
        <v>52.878727532679697</v>
      </c>
      <c r="W66" s="2">
        <v>74.801289549910805</v>
      </c>
      <c r="X66" s="2">
        <v>75.432472704991</v>
      </c>
      <c r="Y66" s="2">
        <v>52.700268175452003</v>
      </c>
      <c r="Z66" s="2">
        <v>2.5852880947069399</v>
      </c>
      <c r="AA66" s="2">
        <f>MAX(120*16*Z66/SUM(Z:Z),0.75)</f>
        <v>36.925496464467471</v>
      </c>
      <c r="AB66" s="2">
        <f>AA66-F66</f>
        <v>35.415496464467473</v>
      </c>
    </row>
    <row r="67" spans="1:28" hidden="1" x14ac:dyDescent="0.25">
      <c r="A67" s="1">
        <v>1</v>
      </c>
      <c r="B67" s="1">
        <v>29</v>
      </c>
      <c r="C67" s="1" t="s">
        <v>113</v>
      </c>
      <c r="D67" s="1" t="s">
        <v>43</v>
      </c>
      <c r="E67" s="1">
        <v>24</v>
      </c>
      <c r="F67" s="1">
        <v>3.35</v>
      </c>
      <c r="G67" s="1">
        <v>2086</v>
      </c>
      <c r="H67" s="2">
        <v>24.976989247311799</v>
      </c>
      <c r="I67" s="2">
        <v>56.317526881720397</v>
      </c>
      <c r="J67" s="2">
        <v>60.526164874551903</v>
      </c>
      <c r="K67" s="2">
        <v>61.683225806451603</v>
      </c>
      <c r="L67" s="2">
        <v>59.693189964157703</v>
      </c>
      <c r="M67" s="2">
        <v>49.444086021505299</v>
      </c>
      <c r="N67" s="2">
        <v>47.985197132616399</v>
      </c>
      <c r="O67" s="2">
        <v>47.1606093189964</v>
      </c>
      <c r="P67" s="2">
        <v>54.574086021505302</v>
      </c>
      <c r="Q67" s="2">
        <v>55.544623655913902</v>
      </c>
      <c r="R67" s="2">
        <v>39.395734767024997</v>
      </c>
      <c r="S67" s="2">
        <v>39.422616487455102</v>
      </c>
      <c r="T67" s="2">
        <v>37.757813620071602</v>
      </c>
      <c r="U67" s="2">
        <v>48.501648745519702</v>
      </c>
      <c r="V67" s="2">
        <v>53.187419354838703</v>
      </c>
      <c r="W67" s="2">
        <v>49.301863799283097</v>
      </c>
      <c r="X67" s="2">
        <v>49.29</v>
      </c>
      <c r="Y67" s="2">
        <v>62.413691756272399</v>
      </c>
      <c r="Z67" s="2">
        <v>4.5257097128665803E-2</v>
      </c>
      <c r="AA67" s="2">
        <f>MAX(120*16*Z67/SUM(Z:Z),0.75)</f>
        <v>0.75</v>
      </c>
      <c r="AB67" s="2">
        <f>AA67-F67</f>
        <v>-2.6</v>
      </c>
    </row>
    <row r="68" spans="1:28" hidden="1" x14ac:dyDescent="0.25">
      <c r="A68" s="1">
        <v>1</v>
      </c>
      <c r="B68" s="1">
        <v>125</v>
      </c>
      <c r="C68" s="1" t="s">
        <v>114</v>
      </c>
      <c r="D68" s="1" t="s">
        <v>41</v>
      </c>
      <c r="E68" s="1">
        <v>24</v>
      </c>
      <c r="F68" s="1">
        <v>2.83</v>
      </c>
      <c r="G68" s="1">
        <v>2086</v>
      </c>
      <c r="H68" s="2">
        <v>24.648330942132901</v>
      </c>
      <c r="I68" s="2">
        <v>56.2898517455762</v>
      </c>
      <c r="J68" s="2">
        <v>61.022735533237601</v>
      </c>
      <c r="K68" s="2">
        <v>37.060172166427499</v>
      </c>
      <c r="L68" s="2">
        <v>52.489239598278303</v>
      </c>
      <c r="M68" s="2">
        <v>65.119359158297399</v>
      </c>
      <c r="N68" s="2">
        <v>61.233773314203702</v>
      </c>
      <c r="O68" s="2">
        <v>48.1786226685796</v>
      </c>
      <c r="P68" s="2">
        <v>40.814863701578098</v>
      </c>
      <c r="Q68" s="2">
        <v>48.505298900047798</v>
      </c>
      <c r="R68" s="2">
        <v>48.719751315160202</v>
      </c>
      <c r="S68" s="2">
        <v>46.255437589670002</v>
      </c>
      <c r="T68" s="2">
        <v>49.014863701578101</v>
      </c>
      <c r="U68" s="2">
        <v>48.9181157340985</v>
      </c>
      <c r="V68" s="2">
        <v>54.810664753706298</v>
      </c>
      <c r="W68" s="2">
        <v>59.402439024390198</v>
      </c>
      <c r="X68" s="2">
        <v>55.661941654710603</v>
      </c>
      <c r="Y68" s="2">
        <v>48.975714968914303</v>
      </c>
      <c r="Z68" s="2">
        <v>-0.22567902945467899</v>
      </c>
      <c r="AA68" s="2">
        <f>MAX(120*16*Z68/SUM(Z:Z),0.75)</f>
        <v>0.75</v>
      </c>
      <c r="AB68" s="2">
        <f>AA68-F68</f>
        <v>-2.08</v>
      </c>
    </row>
    <row r="69" spans="1:28" hidden="1" x14ac:dyDescent="0.25">
      <c r="A69" s="1">
        <v>1</v>
      </c>
      <c r="B69" s="1">
        <v>143</v>
      </c>
      <c r="C69" s="1" t="s">
        <v>96</v>
      </c>
      <c r="D69" s="1" t="s">
        <v>53</v>
      </c>
      <c r="E69" s="1">
        <v>33</v>
      </c>
      <c r="F69" s="1">
        <v>6.91</v>
      </c>
      <c r="G69" s="1">
        <v>2086</v>
      </c>
      <c r="H69" s="2">
        <v>31.230517848164901</v>
      </c>
      <c r="I69" s="2">
        <v>56.282051282051199</v>
      </c>
      <c r="J69" s="2">
        <v>56.337355455002502</v>
      </c>
      <c r="K69" s="2">
        <v>47.361362493715397</v>
      </c>
      <c r="L69" s="2">
        <v>50.4791352438411</v>
      </c>
      <c r="M69" s="2">
        <v>42.615384615384599</v>
      </c>
      <c r="N69" s="2">
        <v>36.563851181498201</v>
      </c>
      <c r="O69" s="2">
        <v>47.0382101558572</v>
      </c>
      <c r="P69" s="2">
        <v>48.710407239818998</v>
      </c>
      <c r="Q69" s="2">
        <v>52.061588738059299</v>
      </c>
      <c r="R69" s="2">
        <v>49.017973856209103</v>
      </c>
      <c r="S69" s="2">
        <v>48.651206636500703</v>
      </c>
      <c r="T69" s="2">
        <v>50.699974861739499</v>
      </c>
      <c r="U69" s="2">
        <v>58.475615887380599</v>
      </c>
      <c r="V69" s="2">
        <v>57.758044243338297</v>
      </c>
      <c r="W69" s="2">
        <v>64.289969834087401</v>
      </c>
      <c r="X69" s="2">
        <v>60.043740573152299</v>
      </c>
      <c r="Y69" s="2">
        <v>59.231271995977799</v>
      </c>
      <c r="Z69" s="2">
        <v>2.8982332707260499</v>
      </c>
      <c r="AA69" s="2">
        <f>MAX(120*16*Z69/SUM(Z:Z),0.75)</f>
        <v>41.395271424683543</v>
      </c>
      <c r="AB69" s="2">
        <f>AA69-F69</f>
        <v>34.485271424683546</v>
      </c>
    </row>
    <row r="70" spans="1:28" hidden="1" x14ac:dyDescent="0.25">
      <c r="A70" s="1">
        <v>1</v>
      </c>
      <c r="B70" s="1">
        <v>130</v>
      </c>
      <c r="C70" s="1" t="s">
        <v>107</v>
      </c>
      <c r="D70" s="1" t="s">
        <v>35</v>
      </c>
      <c r="E70" s="1">
        <v>26</v>
      </c>
      <c r="F70" s="1">
        <v>2.2200000000000002</v>
      </c>
      <c r="G70" s="1">
        <v>2088</v>
      </c>
      <c r="H70" s="2">
        <v>25.940548471969201</v>
      </c>
      <c r="I70" s="2">
        <v>56.280155838898999</v>
      </c>
      <c r="J70" s="2">
        <v>59.077919449504101</v>
      </c>
      <c r="K70" s="2">
        <v>37.433211900425</v>
      </c>
      <c r="L70" s="2">
        <v>51.686348917223199</v>
      </c>
      <c r="M70" s="2">
        <v>62.686500708358601</v>
      </c>
      <c r="N70" s="2">
        <v>59.898552924509197</v>
      </c>
      <c r="O70" s="2">
        <v>47.716757741347898</v>
      </c>
      <c r="P70" s="2">
        <v>43.1248735073871</v>
      </c>
      <c r="Q70" s="2">
        <v>51.164541590771101</v>
      </c>
      <c r="R70" s="2">
        <v>50.825946164743897</v>
      </c>
      <c r="S70" s="2">
        <v>50.366575591985402</v>
      </c>
      <c r="T70" s="2">
        <v>53.796043311070598</v>
      </c>
      <c r="U70" s="2">
        <v>54.270390609188397</v>
      </c>
      <c r="V70" s="2">
        <v>50.058996154624502</v>
      </c>
      <c r="W70" s="2">
        <v>59.4549180327868</v>
      </c>
      <c r="X70" s="2">
        <v>52.919955474600201</v>
      </c>
      <c r="Y70" s="2">
        <v>48.9159077109896</v>
      </c>
      <c r="Z70" s="2">
        <v>0.12820820715292</v>
      </c>
      <c r="AA70" s="2">
        <f>MAX(120*16*Z70/SUM(Z:Z),0.75)</f>
        <v>1.8311892239914984</v>
      </c>
      <c r="AB70" s="2">
        <f>AA70-F70</f>
        <v>-0.38881077600850178</v>
      </c>
    </row>
    <row r="71" spans="1:28" hidden="1" x14ac:dyDescent="0.25">
      <c r="A71" s="1">
        <v>1</v>
      </c>
      <c r="B71" s="1">
        <v>25</v>
      </c>
      <c r="C71" s="1" t="s">
        <v>116</v>
      </c>
      <c r="D71" s="1" t="s">
        <v>41</v>
      </c>
      <c r="E71" s="1">
        <v>26</v>
      </c>
      <c r="F71" s="1">
        <v>7.13</v>
      </c>
      <c r="G71" s="1">
        <v>2088</v>
      </c>
      <c r="H71" s="2">
        <v>25.933678359210202</v>
      </c>
      <c r="I71" s="2">
        <v>56.263800130921702</v>
      </c>
      <c r="J71" s="2">
        <v>59.091316125438901</v>
      </c>
      <c r="K71" s="2">
        <v>39.820875873866598</v>
      </c>
      <c r="L71" s="2">
        <v>60.690091536739402</v>
      </c>
      <c r="M71" s="2">
        <v>59.748594037634497</v>
      </c>
      <c r="N71" s="2">
        <v>56.675907139576303</v>
      </c>
      <c r="O71" s="2">
        <v>48.916839360436299</v>
      </c>
      <c r="P71" s="2">
        <v>55.940517394150397</v>
      </c>
      <c r="Q71" s="2">
        <v>55.735104032173403</v>
      </c>
      <c r="R71" s="2">
        <v>45.399148646840302</v>
      </c>
      <c r="S71" s="2">
        <v>47.309586583773601</v>
      </c>
      <c r="T71" s="2">
        <v>43.241977425036403</v>
      </c>
      <c r="U71" s="2">
        <v>48.9106983338215</v>
      </c>
      <c r="V71" s="2">
        <v>54.660909002137402</v>
      </c>
      <c r="W71" s="2">
        <v>56.097949012842598</v>
      </c>
      <c r="X71" s="2">
        <v>54.436063522374198</v>
      </c>
      <c r="Y71" s="2">
        <v>55.5542800930195</v>
      </c>
      <c r="Z71" s="2">
        <v>-0.948168325592325</v>
      </c>
      <c r="AA71" s="2">
        <f>MAX(120*16*Z71/SUM(Z:Z),0.75)</f>
        <v>0.75</v>
      </c>
      <c r="AB71" s="2">
        <f>AA71-F71</f>
        <v>-6.38</v>
      </c>
    </row>
    <row r="72" spans="1:28" hidden="1" x14ac:dyDescent="0.25">
      <c r="A72" s="1">
        <v>1</v>
      </c>
      <c r="B72" s="1">
        <v>116</v>
      </c>
      <c r="C72" s="1" t="s">
        <v>105</v>
      </c>
      <c r="D72" s="1" t="s">
        <v>55</v>
      </c>
      <c r="E72" s="1">
        <v>24</v>
      </c>
      <c r="F72" s="1">
        <v>12.97</v>
      </c>
      <c r="G72" s="1">
        <v>2086</v>
      </c>
      <c r="H72" s="2">
        <v>24.436282851200598</v>
      </c>
      <c r="I72" s="2">
        <v>56.2534176757338</v>
      </c>
      <c r="J72" s="2">
        <v>61.152289000139703</v>
      </c>
      <c r="K72" s="2">
        <v>48.133891505750199</v>
      </c>
      <c r="L72" s="2">
        <v>50.183761210716199</v>
      </c>
      <c r="M72" s="2">
        <v>63.167932624725601</v>
      </c>
      <c r="N72" s="2">
        <v>62.315671574309199</v>
      </c>
      <c r="O72" s="2">
        <v>48.7681036112686</v>
      </c>
      <c r="P72" s="2">
        <v>35.096048402344401</v>
      </c>
      <c r="Q72" s="2">
        <v>53.212019203103999</v>
      </c>
      <c r="R72" s="2">
        <v>52.115255616661301</v>
      </c>
      <c r="S72" s="2">
        <v>52.9496288441145</v>
      </c>
      <c r="T72" s="2">
        <v>50.2557235279127</v>
      </c>
      <c r="U72" s="2">
        <v>45.934975790607197</v>
      </c>
      <c r="V72" s="2">
        <v>49.335441893347102</v>
      </c>
      <c r="W72" s="2">
        <v>56.477652552056298</v>
      </c>
      <c r="X72" s="2">
        <v>49.967792054058002</v>
      </c>
      <c r="Y72" s="2">
        <v>49.673987028040102</v>
      </c>
      <c r="Z72" s="2">
        <v>0.58373326958021599</v>
      </c>
      <c r="AA72" s="2">
        <f>MAX(120*16*Z72/SUM(Z:Z),0.75)</f>
        <v>8.3374231391104079</v>
      </c>
      <c r="AB72" s="2">
        <f>AA72-F72</f>
        <v>-4.6325768608895928</v>
      </c>
    </row>
    <row r="73" spans="1:28" x14ac:dyDescent="0.25">
      <c r="A73" s="1">
        <v>1</v>
      </c>
      <c r="B73" s="1">
        <v>185</v>
      </c>
      <c r="C73" s="1" t="s">
        <v>115</v>
      </c>
      <c r="D73" s="1" t="s">
        <v>46</v>
      </c>
      <c r="E73" s="1">
        <v>30</v>
      </c>
      <c r="F73" s="1">
        <v>2.8</v>
      </c>
      <c r="G73" s="1">
        <v>2086</v>
      </c>
      <c r="H73" s="2">
        <v>28.5691609977324</v>
      </c>
      <c r="I73" s="2">
        <v>56.238378684807202</v>
      </c>
      <c r="J73" s="2">
        <v>57.0598072562358</v>
      </c>
      <c r="K73" s="2">
        <v>51.972789115646201</v>
      </c>
      <c r="L73" s="2">
        <v>53.479308390022602</v>
      </c>
      <c r="M73" s="2">
        <v>58.551020408163197</v>
      </c>
      <c r="N73" s="2">
        <v>55.863662131519199</v>
      </c>
      <c r="O73" s="2">
        <v>48.770408163265301</v>
      </c>
      <c r="P73" s="2">
        <v>42.9481292517006</v>
      </c>
      <c r="Q73" s="2">
        <v>55.387471655328703</v>
      </c>
      <c r="R73" s="2">
        <v>60.211167800453502</v>
      </c>
      <c r="S73" s="2">
        <v>60.996031746031697</v>
      </c>
      <c r="T73" s="2">
        <v>61.290249433106503</v>
      </c>
      <c r="U73" s="2">
        <v>46.715136054421698</v>
      </c>
      <c r="V73" s="2">
        <v>45.396258503401299</v>
      </c>
      <c r="W73" s="2">
        <v>52.322278911564602</v>
      </c>
      <c r="X73" s="2">
        <v>45.061791383219898</v>
      </c>
      <c r="Y73" s="2">
        <v>43.416383219954596</v>
      </c>
      <c r="Z73" s="2">
        <v>1.00194477581138</v>
      </c>
      <c r="AA73" s="2">
        <f>MAX(120*16*Z73/SUM(Z:Z),0.75)</f>
        <v>14.310710033656294</v>
      </c>
      <c r="AB73" s="2">
        <f>AA73-F73</f>
        <v>11.510710033656295</v>
      </c>
    </row>
    <row r="74" spans="1:28" hidden="1" x14ac:dyDescent="0.25">
      <c r="A74" s="1">
        <v>1</v>
      </c>
      <c r="B74" s="1">
        <v>151</v>
      </c>
      <c r="C74" s="1" t="s">
        <v>108</v>
      </c>
      <c r="D74" s="1" t="s">
        <v>37</v>
      </c>
      <c r="E74" s="1">
        <v>28</v>
      </c>
      <c r="F74" s="1">
        <v>1.69</v>
      </c>
      <c r="G74" s="1">
        <v>2085</v>
      </c>
      <c r="H74" s="2">
        <v>27.605693941759501</v>
      </c>
      <c r="I74" s="2">
        <v>56.208218011496697</v>
      </c>
      <c r="J74" s="2">
        <v>57.529920595494303</v>
      </c>
      <c r="K74" s="2">
        <v>44.573388056994602</v>
      </c>
      <c r="L74" s="2">
        <v>52.750183332150499</v>
      </c>
      <c r="M74" s="2">
        <v>61.224536544208597</v>
      </c>
      <c r="N74" s="2">
        <v>57.654152768906798</v>
      </c>
      <c r="O74" s="2">
        <v>48.839345839345803</v>
      </c>
      <c r="P74" s="2">
        <v>43.984454222159101</v>
      </c>
      <c r="Q74" s="2">
        <v>57.012793824269203</v>
      </c>
      <c r="R74" s="2">
        <v>51.618613930089303</v>
      </c>
      <c r="S74" s="2">
        <v>50.454048683556799</v>
      </c>
      <c r="T74" s="2">
        <v>52.266884299671098</v>
      </c>
      <c r="U74" s="2">
        <v>50.006690637838098</v>
      </c>
      <c r="V74" s="2">
        <v>49.223968805936003</v>
      </c>
      <c r="W74" s="2">
        <v>56.1659412233182</v>
      </c>
      <c r="X74" s="2">
        <v>48.577728889204302</v>
      </c>
      <c r="Y74" s="2">
        <v>47.501265583232701</v>
      </c>
      <c r="Z74" s="2">
        <v>-0.37625651786256398</v>
      </c>
      <c r="AA74" s="2">
        <f>MAX(120*16*Z74/SUM(Z:Z),0.75)</f>
        <v>0.75</v>
      </c>
      <c r="AB74" s="2">
        <f>AA74-F74</f>
        <v>-0.94</v>
      </c>
    </row>
    <row r="75" spans="1:28" hidden="1" x14ac:dyDescent="0.25">
      <c r="A75" s="1">
        <v>1</v>
      </c>
      <c r="B75" s="1">
        <v>103</v>
      </c>
      <c r="C75" s="1" t="s">
        <v>122</v>
      </c>
      <c r="D75" s="1" t="s">
        <v>53</v>
      </c>
      <c r="E75" s="1">
        <v>24</v>
      </c>
      <c r="F75" s="1">
        <v>13.95</v>
      </c>
      <c r="G75" s="1">
        <v>2088</v>
      </c>
      <c r="H75" s="2">
        <v>25.104440476780901</v>
      </c>
      <c r="I75" s="2">
        <v>56.159706723536502</v>
      </c>
      <c r="J75" s="2">
        <v>59.959674486270202</v>
      </c>
      <c r="K75" s="2">
        <v>49.015754930648498</v>
      </c>
      <c r="L75" s="2">
        <v>63.571996561358198</v>
      </c>
      <c r="M75" s="2">
        <v>49.1926879267304</v>
      </c>
      <c r="N75" s="2">
        <v>47.501554001553998</v>
      </c>
      <c r="O75" s="2">
        <v>50.616037626675897</v>
      </c>
      <c r="P75" s="2">
        <v>62.069587032352899</v>
      </c>
      <c r="Q75" s="2">
        <v>57.813131313131301</v>
      </c>
      <c r="R75" s="2">
        <v>39.160148952702102</v>
      </c>
      <c r="S75" s="2">
        <v>40.679755823372801</v>
      </c>
      <c r="T75" s="2">
        <v>38.548665873133899</v>
      </c>
      <c r="U75" s="2">
        <v>50.909892707765003</v>
      </c>
      <c r="V75" s="2">
        <v>57.301641620790498</v>
      </c>
      <c r="W75" s="2">
        <v>51.824633404420602</v>
      </c>
      <c r="X75" s="2">
        <v>50.493102051612603</v>
      </c>
      <c r="Y75" s="2">
        <v>62.947717766866703</v>
      </c>
      <c r="Z75" s="2">
        <v>-0.37052161090165697</v>
      </c>
      <c r="AA75" s="2">
        <f>MAX(120*16*Z75/SUM(Z:Z),0.75)</f>
        <v>0.75</v>
      </c>
      <c r="AB75" s="2">
        <f>AA75-F75</f>
        <v>-13.2</v>
      </c>
    </row>
    <row r="76" spans="1:28" hidden="1" x14ac:dyDescent="0.25">
      <c r="A76" s="1">
        <v>1</v>
      </c>
      <c r="B76" s="1">
        <v>133</v>
      </c>
      <c r="C76" s="1" t="s">
        <v>119</v>
      </c>
      <c r="D76" s="1" t="s">
        <v>55</v>
      </c>
      <c r="E76" s="1">
        <v>24</v>
      </c>
      <c r="F76" s="1">
        <v>6.36</v>
      </c>
      <c r="G76" s="1">
        <v>2085</v>
      </c>
      <c r="H76" s="2">
        <v>24.164170692431501</v>
      </c>
      <c r="I76" s="2">
        <v>55.967069243156203</v>
      </c>
      <c r="J76" s="2">
        <v>62.2182769726248</v>
      </c>
      <c r="K76" s="2">
        <v>53.377214170692397</v>
      </c>
      <c r="L76" s="2">
        <v>49.931803542673102</v>
      </c>
      <c r="M76" s="2">
        <v>62.224154589371899</v>
      </c>
      <c r="N76" s="2">
        <v>61.974798711755199</v>
      </c>
      <c r="O76" s="2">
        <v>44.012640901771299</v>
      </c>
      <c r="P76" s="2">
        <v>36.1596618357488</v>
      </c>
      <c r="Q76" s="2">
        <v>50.290740740740702</v>
      </c>
      <c r="R76" s="2">
        <v>50.354911433172298</v>
      </c>
      <c r="S76" s="2">
        <v>49.295732689210901</v>
      </c>
      <c r="T76" s="2">
        <v>50.239694041867899</v>
      </c>
      <c r="U76" s="2">
        <v>48.080434782608698</v>
      </c>
      <c r="V76" s="2">
        <v>44.716425120772897</v>
      </c>
      <c r="W76" s="2">
        <v>58.4599838969404</v>
      </c>
      <c r="X76" s="2">
        <v>53.275281803542597</v>
      </c>
      <c r="Y76" s="2">
        <v>50.002576489532998</v>
      </c>
      <c r="Z76" s="2">
        <v>1.33752389406814</v>
      </c>
      <c r="AA76" s="2">
        <f>MAX(120*16*Z76/SUM(Z:Z),0.75)</f>
        <v>19.103764072820834</v>
      </c>
      <c r="AB76" s="2">
        <f>AA76-F76</f>
        <v>12.743764072820834</v>
      </c>
    </row>
    <row r="77" spans="1:28" hidden="1" x14ac:dyDescent="0.25">
      <c r="A77" s="1">
        <v>1</v>
      </c>
      <c r="B77" s="1">
        <v>30</v>
      </c>
      <c r="C77" s="1" t="s">
        <v>118</v>
      </c>
      <c r="D77" s="1" t="s">
        <v>75</v>
      </c>
      <c r="E77" s="1">
        <v>22</v>
      </c>
      <c r="F77" s="1">
        <v>6.15</v>
      </c>
      <c r="G77" s="1">
        <v>2087</v>
      </c>
      <c r="H77" s="2">
        <v>24.161483050847401</v>
      </c>
      <c r="I77" s="2">
        <v>55.923601694915199</v>
      </c>
      <c r="J77" s="2">
        <v>61.4724482109227</v>
      </c>
      <c r="K77" s="2">
        <v>28.760687382297501</v>
      </c>
      <c r="L77" s="2">
        <v>47.630499058380401</v>
      </c>
      <c r="M77" s="2">
        <v>64.856393596986806</v>
      </c>
      <c r="N77" s="2">
        <v>65.800310734463196</v>
      </c>
      <c r="O77" s="2">
        <v>50.535536723163801</v>
      </c>
      <c r="P77" s="2">
        <v>36.033870056497101</v>
      </c>
      <c r="Q77" s="2">
        <v>36.716676082862499</v>
      </c>
      <c r="R77" s="2">
        <v>51.374204331450002</v>
      </c>
      <c r="S77" s="2">
        <v>47.515230696798398</v>
      </c>
      <c r="T77" s="2">
        <v>53.604227871939699</v>
      </c>
      <c r="U77" s="2">
        <v>53.839934086629</v>
      </c>
      <c r="V77" s="2">
        <v>48.526723163841801</v>
      </c>
      <c r="W77" s="2">
        <v>69.286850282485801</v>
      </c>
      <c r="X77" s="2">
        <v>69.117142184557395</v>
      </c>
      <c r="Y77" s="2">
        <v>50.248314500941603</v>
      </c>
      <c r="Z77" s="2">
        <v>1.5675464913317301</v>
      </c>
      <c r="AA77" s="2">
        <f>MAX(120*16*Z77/SUM(Z:Z),0.75)</f>
        <v>22.389161402191643</v>
      </c>
      <c r="AB77" s="2">
        <f>AA77-F77</f>
        <v>16.239161402191641</v>
      </c>
    </row>
    <row r="78" spans="1:28" hidden="1" x14ac:dyDescent="0.25">
      <c r="A78" s="1">
        <v>1</v>
      </c>
      <c r="B78" s="1">
        <v>150</v>
      </c>
      <c r="C78" s="1" t="s">
        <v>117</v>
      </c>
      <c r="D78" s="1" t="s">
        <v>60</v>
      </c>
      <c r="E78" s="1">
        <v>29</v>
      </c>
      <c r="F78" s="1">
        <v>1.88</v>
      </c>
      <c r="G78" s="1">
        <v>2086</v>
      </c>
      <c r="H78" s="2">
        <v>27.5152399074383</v>
      </c>
      <c r="I78" s="2">
        <v>55.901249024199799</v>
      </c>
      <c r="J78" s="2">
        <v>57.035048650607699</v>
      </c>
      <c r="K78" s="2">
        <v>64.5361568807851</v>
      </c>
      <c r="L78" s="2">
        <v>61.131164965986301</v>
      </c>
      <c r="M78" s="2">
        <v>49.400287164045899</v>
      </c>
      <c r="N78" s="2">
        <v>46.282382625181199</v>
      </c>
      <c r="O78" s="2">
        <v>49.858575192372001</v>
      </c>
      <c r="P78" s="2">
        <v>58.3244187019069</v>
      </c>
      <c r="Q78" s="2">
        <v>58.632977166276298</v>
      </c>
      <c r="R78" s="2">
        <v>36.122522164603502</v>
      </c>
      <c r="S78" s="2">
        <v>35.768923553027697</v>
      </c>
      <c r="T78" s="2">
        <v>33.257893526262897</v>
      </c>
      <c r="U78" s="2">
        <v>47.973151555704199</v>
      </c>
      <c r="V78" s="2">
        <v>50.770376798260202</v>
      </c>
      <c r="W78" s="2">
        <v>48.490064263410197</v>
      </c>
      <c r="X78" s="2">
        <v>46.788300156128003</v>
      </c>
      <c r="Y78" s="2">
        <v>58.120218579234901</v>
      </c>
      <c r="Z78" s="2">
        <v>0.31339148427824398</v>
      </c>
      <c r="AA78" s="2">
        <f>MAX(120*16*Z78/SUM(Z:Z),0.75)</f>
        <v>4.4761495511479126</v>
      </c>
      <c r="AB78" s="2">
        <f>AA78-F78</f>
        <v>2.5961495511479127</v>
      </c>
    </row>
    <row r="79" spans="1:28" hidden="1" x14ac:dyDescent="0.25">
      <c r="A79" s="1">
        <v>1</v>
      </c>
      <c r="B79" s="1">
        <v>55</v>
      </c>
      <c r="C79" s="1" t="s">
        <v>111</v>
      </c>
      <c r="D79" s="1" t="s">
        <v>60</v>
      </c>
      <c r="E79" s="1">
        <v>30</v>
      </c>
      <c r="F79" s="1">
        <v>0.75</v>
      </c>
      <c r="G79" s="1">
        <v>2087</v>
      </c>
      <c r="H79" s="2">
        <v>29.232580911152301</v>
      </c>
      <c r="I79" s="2">
        <v>55.826582148010701</v>
      </c>
      <c r="J79" s="2">
        <v>56.5380333951762</v>
      </c>
      <c r="K79" s="2">
        <v>61.407184085755503</v>
      </c>
      <c r="L79" s="2">
        <v>59.535559678416803</v>
      </c>
      <c r="M79" s="2">
        <v>42.271232735518403</v>
      </c>
      <c r="N79" s="2">
        <v>35.669964955679198</v>
      </c>
      <c r="O79" s="2">
        <v>47.8032364460935</v>
      </c>
      <c r="P79" s="2">
        <v>56.3032364460935</v>
      </c>
      <c r="Q79" s="2">
        <v>59.515151515151501</v>
      </c>
      <c r="R79" s="2">
        <v>36.1707895279323</v>
      </c>
      <c r="S79" s="2">
        <v>37.187538651824298</v>
      </c>
      <c r="T79" s="2">
        <v>35.505926613069398</v>
      </c>
      <c r="U79" s="2">
        <v>54.696660482374703</v>
      </c>
      <c r="V79" s="2">
        <v>53.986652236652198</v>
      </c>
      <c r="W79" s="2">
        <v>52.138167388167297</v>
      </c>
      <c r="X79" s="2">
        <v>51.858895073180697</v>
      </c>
      <c r="Y79" s="2">
        <v>66.007936507936506</v>
      </c>
      <c r="Z79" s="2">
        <v>0.53179658433090904</v>
      </c>
      <c r="AA79" s="2">
        <f>MAX(120*16*Z79/SUM(Z:Z),0.75)</f>
        <v>7.5956149470269505</v>
      </c>
      <c r="AB79" s="2">
        <f>AA79-F79</f>
        <v>6.8456149470269505</v>
      </c>
    </row>
    <row r="80" spans="1:28" x14ac:dyDescent="0.25">
      <c r="A80" s="1">
        <v>1</v>
      </c>
      <c r="B80" s="1">
        <v>189</v>
      </c>
      <c r="C80" s="1" t="s">
        <v>120</v>
      </c>
      <c r="D80" s="1" t="s">
        <v>46</v>
      </c>
      <c r="E80" s="1">
        <v>31</v>
      </c>
      <c r="F80" s="1">
        <v>0.75</v>
      </c>
      <c r="G80" s="1">
        <v>2086</v>
      </c>
      <c r="H80" s="2">
        <v>29.695555555555501</v>
      </c>
      <c r="I80" s="2">
        <v>55.594814814814796</v>
      </c>
      <c r="J80" s="2">
        <v>56.265185185185103</v>
      </c>
      <c r="K80" s="2">
        <v>53.425925925925903</v>
      </c>
      <c r="L80" s="2">
        <v>60.285925925925902</v>
      </c>
      <c r="M80" s="2">
        <v>38.190370370370303</v>
      </c>
      <c r="N80" s="2">
        <v>32.351111111111102</v>
      </c>
      <c r="O80" s="2">
        <v>46.4637037037037</v>
      </c>
      <c r="P80" s="2">
        <v>63.451111111111103</v>
      </c>
      <c r="Q80" s="2">
        <v>54.769629629629598</v>
      </c>
      <c r="R80" s="2">
        <v>38.313333333333297</v>
      </c>
      <c r="S80" s="2">
        <v>37.68</v>
      </c>
      <c r="T80" s="2">
        <v>37.46</v>
      </c>
      <c r="U80" s="2">
        <v>52.973333333333301</v>
      </c>
      <c r="V80" s="2">
        <v>59.2874074074074</v>
      </c>
      <c r="W80" s="2">
        <v>58.211851851851797</v>
      </c>
      <c r="X80" s="2">
        <v>60.797037037037001</v>
      </c>
      <c r="Y80" s="2">
        <v>74.174074074073999</v>
      </c>
      <c r="Z80" s="2">
        <v>0.61948650795361804</v>
      </c>
      <c r="AA80" s="2">
        <f>MAX(120*16*Z80/SUM(Z:Z),0.75)</f>
        <v>8.8480842448700656</v>
      </c>
      <c r="AB80" s="2">
        <f>AA80-F80</f>
        <v>8.0980842448700656</v>
      </c>
    </row>
    <row r="81" spans="1:28" hidden="1" x14ac:dyDescent="0.25">
      <c r="A81" s="1">
        <v>1</v>
      </c>
      <c r="B81" s="1">
        <v>18</v>
      </c>
      <c r="C81" s="1" t="s">
        <v>124</v>
      </c>
      <c r="D81" s="1" t="s">
        <v>55</v>
      </c>
      <c r="E81" s="1">
        <v>21</v>
      </c>
      <c r="F81" s="1">
        <v>1.79</v>
      </c>
      <c r="G81" s="1">
        <v>2086</v>
      </c>
      <c r="H81" s="2">
        <v>22.989407114624498</v>
      </c>
      <c r="I81" s="2">
        <v>55.5157487922705</v>
      </c>
      <c r="J81" s="2">
        <v>63.359139218269597</v>
      </c>
      <c r="K81" s="2">
        <v>51.044233640755301</v>
      </c>
      <c r="L81" s="2">
        <v>51.586912604303897</v>
      </c>
      <c r="M81" s="2">
        <v>67.698181818181794</v>
      </c>
      <c r="N81" s="2">
        <v>67.858339920948595</v>
      </c>
      <c r="O81" s="2">
        <v>45.896003513394803</v>
      </c>
      <c r="P81" s="2">
        <v>33.841598594642001</v>
      </c>
      <c r="Q81" s="2">
        <v>52.447448397013602</v>
      </c>
      <c r="R81" s="2">
        <v>51.521422924901103</v>
      </c>
      <c r="S81" s="2">
        <v>52.171822573561698</v>
      </c>
      <c r="T81" s="2">
        <v>51.147158541941103</v>
      </c>
      <c r="U81" s="2">
        <v>41.7071936758893</v>
      </c>
      <c r="V81" s="2">
        <v>44.642424242424198</v>
      </c>
      <c r="W81" s="2">
        <v>53.4389986824769</v>
      </c>
      <c r="X81" s="2">
        <v>46.959244620114099</v>
      </c>
      <c r="Y81" s="2">
        <v>43.730961791831298</v>
      </c>
      <c r="Z81" s="2">
        <v>0.44702113200754601</v>
      </c>
      <c r="AA81" s="2">
        <f>MAX(120*16*Z81/SUM(Z:Z),0.75)</f>
        <v>6.3847728472822336</v>
      </c>
      <c r="AB81" s="2">
        <f>AA81-F81</f>
        <v>4.5947728472822336</v>
      </c>
    </row>
    <row r="82" spans="1:28" hidden="1" x14ac:dyDescent="0.25">
      <c r="A82" s="1">
        <v>1</v>
      </c>
      <c r="B82" s="1">
        <v>140</v>
      </c>
      <c r="C82" s="1" t="s">
        <v>121</v>
      </c>
      <c r="D82" s="1" t="s">
        <v>43</v>
      </c>
      <c r="E82" s="1">
        <v>29</v>
      </c>
      <c r="F82" s="1">
        <v>5.37</v>
      </c>
      <c r="G82" s="1">
        <v>2086</v>
      </c>
      <c r="H82" s="2">
        <v>28.0910075839653</v>
      </c>
      <c r="I82" s="2">
        <v>55.49941959449</v>
      </c>
      <c r="J82" s="2">
        <v>56.613101687045301</v>
      </c>
      <c r="K82" s="2">
        <v>58.678868080276501</v>
      </c>
      <c r="L82" s="2">
        <v>59.926404581334097</v>
      </c>
      <c r="M82" s="2">
        <v>44.6159005313934</v>
      </c>
      <c r="N82" s="2">
        <v>39.3069313315792</v>
      </c>
      <c r="O82" s="2">
        <v>47.018340814115398</v>
      </c>
      <c r="P82" s="2">
        <v>59.936464943507197</v>
      </c>
      <c r="Q82" s="2">
        <v>54.746981891348</v>
      </c>
      <c r="R82" s="2">
        <v>36.464543672290098</v>
      </c>
      <c r="S82" s="2">
        <v>37.490906980343603</v>
      </c>
      <c r="T82" s="2">
        <v>35.091484806273499</v>
      </c>
      <c r="U82" s="2">
        <v>50.445854614868701</v>
      </c>
      <c r="V82" s="2">
        <v>55.4826136305009</v>
      </c>
      <c r="W82" s="2">
        <v>52.1104963112005</v>
      </c>
      <c r="X82" s="2">
        <v>53.868415621936698</v>
      </c>
      <c r="Y82" s="2">
        <v>66.930286849300899</v>
      </c>
      <c r="Z82" s="2">
        <v>-0.18751915706641201</v>
      </c>
      <c r="AA82" s="2">
        <f>MAX(120*16*Z82/SUM(Z:Z),0.75)</f>
        <v>0.75</v>
      </c>
      <c r="AB82" s="2">
        <f>AA82-F82</f>
        <v>-4.62</v>
      </c>
    </row>
    <row r="83" spans="1:28" hidden="1" x14ac:dyDescent="0.25">
      <c r="A83" s="1">
        <v>1</v>
      </c>
      <c r="B83" s="1">
        <v>154</v>
      </c>
      <c r="C83" s="1" t="s">
        <v>123</v>
      </c>
      <c r="D83" s="1" t="s">
        <v>55</v>
      </c>
      <c r="E83" s="1">
        <v>31</v>
      </c>
      <c r="F83" s="1">
        <v>5.94</v>
      </c>
      <c r="G83" s="1">
        <v>2085</v>
      </c>
      <c r="H83" s="2">
        <v>29.908023689273602</v>
      </c>
      <c r="I83" s="2">
        <v>55.424332611832597</v>
      </c>
      <c r="J83" s="2">
        <v>55.710497835497797</v>
      </c>
      <c r="K83" s="2">
        <v>47.335497835497797</v>
      </c>
      <c r="L83" s="2">
        <v>50.895232082732001</v>
      </c>
      <c r="M83" s="2">
        <v>54.684268278018202</v>
      </c>
      <c r="N83" s="2">
        <v>49.550505050505002</v>
      </c>
      <c r="O83" s="2">
        <v>47.560079966329901</v>
      </c>
      <c r="P83" s="2">
        <v>43.348003848003799</v>
      </c>
      <c r="Q83" s="2">
        <v>56.9054383116883</v>
      </c>
      <c r="R83" s="2">
        <v>54.003532347282302</v>
      </c>
      <c r="S83" s="2">
        <v>50.104226791726703</v>
      </c>
      <c r="T83" s="2">
        <v>57.625225468975401</v>
      </c>
      <c r="U83" s="2">
        <v>50.410158128908101</v>
      </c>
      <c r="V83" s="2">
        <v>49.358736171236103</v>
      </c>
      <c r="W83" s="2">
        <v>55.799062049062002</v>
      </c>
      <c r="X83" s="2">
        <v>48.951298701298697</v>
      </c>
      <c r="Y83" s="2">
        <v>47.689799783549702</v>
      </c>
      <c r="Z83" s="2">
        <v>-2.08031140917967E-2</v>
      </c>
      <c r="AA83" s="2">
        <f>MAX(120*16*Z83/SUM(Z:Z),0.75)</f>
        <v>0.75</v>
      </c>
      <c r="AB83" s="2">
        <f>AA83-F83</f>
        <v>-5.19</v>
      </c>
    </row>
    <row r="84" spans="1:28" hidden="1" x14ac:dyDescent="0.25">
      <c r="A84" s="1">
        <v>1</v>
      </c>
      <c r="B84" s="1">
        <v>21</v>
      </c>
      <c r="C84" s="1" t="s">
        <v>126</v>
      </c>
      <c r="D84" s="1" t="s">
        <v>53</v>
      </c>
      <c r="E84" s="1">
        <v>22</v>
      </c>
      <c r="F84" s="1">
        <v>6.22</v>
      </c>
      <c r="G84" s="1">
        <v>2087</v>
      </c>
      <c r="H84" s="2">
        <v>23.3436304644808</v>
      </c>
      <c r="I84" s="2">
        <v>55.088012295081903</v>
      </c>
      <c r="J84" s="2">
        <v>62.241734972677499</v>
      </c>
      <c r="K84" s="2">
        <v>51.4839651639344</v>
      </c>
      <c r="L84" s="2">
        <v>52.3609801912568</v>
      </c>
      <c r="M84" s="2">
        <v>68.092213114754102</v>
      </c>
      <c r="N84" s="2">
        <v>67.792469262295</v>
      </c>
      <c r="O84" s="2">
        <v>43.634187158469899</v>
      </c>
      <c r="P84" s="2">
        <v>33.078073770491798</v>
      </c>
      <c r="Q84" s="2">
        <v>53.119620901639301</v>
      </c>
      <c r="R84" s="2">
        <v>51.324641393442597</v>
      </c>
      <c r="S84" s="2">
        <v>51.716000683060102</v>
      </c>
      <c r="T84" s="2">
        <v>51.264737021857897</v>
      </c>
      <c r="U84" s="2">
        <v>39.887499999999903</v>
      </c>
      <c r="V84" s="2">
        <v>44.518425546448</v>
      </c>
      <c r="W84" s="2">
        <v>52.315215163934397</v>
      </c>
      <c r="X84" s="2">
        <v>45.942042349726698</v>
      </c>
      <c r="Y84" s="2">
        <v>43.335587431693902</v>
      </c>
      <c r="Z84" s="2">
        <v>0.37434743003126902</v>
      </c>
      <c r="AA84" s="2">
        <f>MAX(120*16*Z84/SUM(Z:Z),0.75)</f>
        <v>5.3467792360947826</v>
      </c>
      <c r="AB84" s="2">
        <f>AA84-F84</f>
        <v>-0.87322076390521719</v>
      </c>
    </row>
    <row r="85" spans="1:28" hidden="1" x14ac:dyDescent="0.25">
      <c r="A85" s="1">
        <v>1</v>
      </c>
      <c r="B85" s="1">
        <v>162</v>
      </c>
      <c r="C85" s="1" t="s">
        <v>127</v>
      </c>
      <c r="D85" s="1" t="s">
        <v>53</v>
      </c>
      <c r="E85" s="1">
        <v>32</v>
      </c>
      <c r="F85" s="1">
        <v>4.66</v>
      </c>
      <c r="G85" s="1">
        <v>2086</v>
      </c>
      <c r="H85" s="2">
        <v>30.951045615751401</v>
      </c>
      <c r="I85" s="2">
        <v>54.994341853165302</v>
      </c>
      <c r="J85" s="2">
        <v>55.113081407198997</v>
      </c>
      <c r="K85" s="2">
        <v>49.116907178671802</v>
      </c>
      <c r="L85" s="2">
        <v>50.744246056010702</v>
      </c>
      <c r="M85" s="2">
        <v>47.884262769556798</v>
      </c>
      <c r="N85" s="2">
        <v>41.306595736007502</v>
      </c>
      <c r="O85" s="2">
        <v>45.3334637805226</v>
      </c>
      <c r="P85" s="2">
        <v>48.205334067098697</v>
      </c>
      <c r="Q85" s="2">
        <v>56.703306020953001</v>
      </c>
      <c r="R85" s="2">
        <v>61.932884921120198</v>
      </c>
      <c r="S85" s="2">
        <v>62.910397048632298</v>
      </c>
      <c r="T85" s="2">
        <v>64.408028616852107</v>
      </c>
      <c r="U85" s="2">
        <v>52.583017406546801</v>
      </c>
      <c r="V85" s="2">
        <v>49.093854714442898</v>
      </c>
      <c r="W85" s="2">
        <v>55.151186254127403</v>
      </c>
      <c r="X85" s="2">
        <v>47.8530451265745</v>
      </c>
      <c r="Y85" s="2">
        <v>48.645401736578201</v>
      </c>
      <c r="Z85" s="2">
        <v>1.10204724739865</v>
      </c>
      <c r="AA85" s="2">
        <f>MAX(120*16*Z85/SUM(Z:Z),0.75)</f>
        <v>15.740466921582239</v>
      </c>
      <c r="AB85" s="2">
        <f>AA85-F85</f>
        <v>11.080466921582239</v>
      </c>
    </row>
    <row r="86" spans="1:28" hidden="1" x14ac:dyDescent="0.25">
      <c r="A86" s="1">
        <v>1</v>
      </c>
      <c r="B86" s="1">
        <v>48</v>
      </c>
      <c r="C86" s="1" t="s">
        <v>125</v>
      </c>
      <c r="D86" s="1" t="s">
        <v>43</v>
      </c>
      <c r="E86" s="1">
        <v>35</v>
      </c>
      <c r="F86" s="1">
        <v>9.84</v>
      </c>
      <c r="G86" s="1">
        <v>2086</v>
      </c>
      <c r="H86" s="2">
        <v>32.075578310696002</v>
      </c>
      <c r="I86" s="2">
        <v>54.927047962648501</v>
      </c>
      <c r="J86" s="2">
        <v>54.945414190718701</v>
      </c>
      <c r="K86" s="2">
        <v>61.680638087153298</v>
      </c>
      <c r="L86" s="2">
        <v>59.184502334465101</v>
      </c>
      <c r="M86" s="2">
        <v>32.040976938313499</v>
      </c>
      <c r="N86" s="2">
        <v>24.990794779286901</v>
      </c>
      <c r="O86" s="2">
        <v>40.9504014572722</v>
      </c>
      <c r="P86" s="2">
        <v>61.554382427843798</v>
      </c>
      <c r="Q86" s="2">
        <v>58.136645797962601</v>
      </c>
      <c r="R86" s="2">
        <v>45.508347481607203</v>
      </c>
      <c r="S86" s="2">
        <v>43.986806734578302</v>
      </c>
      <c r="T86" s="2">
        <v>47.068380376344003</v>
      </c>
      <c r="U86" s="2">
        <v>52.563074773627598</v>
      </c>
      <c r="V86" s="2">
        <v>57.6701595217883</v>
      </c>
      <c r="W86" s="2">
        <v>53.644533460667702</v>
      </c>
      <c r="X86" s="2">
        <v>53.548555107526802</v>
      </c>
      <c r="Y86" s="2">
        <v>66.875716256366701</v>
      </c>
      <c r="Z86" s="2">
        <v>0.43571849767717802</v>
      </c>
      <c r="AA86" s="2">
        <f>MAX(120*16*Z86/SUM(Z:Z),0.75)</f>
        <v>6.2233380791959769</v>
      </c>
      <c r="AB86" s="2">
        <f>AA86-F86</f>
        <v>-3.6166619208040229</v>
      </c>
    </row>
    <row r="87" spans="1:28" hidden="1" x14ac:dyDescent="0.25">
      <c r="A87" s="1">
        <v>1</v>
      </c>
      <c r="B87" s="1">
        <v>123</v>
      </c>
      <c r="C87" s="1" t="s">
        <v>129</v>
      </c>
      <c r="D87" s="1" t="s">
        <v>43</v>
      </c>
      <c r="E87" s="1">
        <v>27</v>
      </c>
      <c r="F87" s="1">
        <v>16.84</v>
      </c>
      <c r="G87" s="1">
        <v>2085</v>
      </c>
      <c r="H87" s="2">
        <v>26.137840573805899</v>
      </c>
      <c r="I87" s="2">
        <v>54.9027937236892</v>
      </c>
      <c r="J87" s="2">
        <v>57.876893448390803</v>
      </c>
      <c r="K87" s="2">
        <v>65.611446489636194</v>
      </c>
      <c r="L87" s="2">
        <v>56.249046331617301</v>
      </c>
      <c r="M87" s="2">
        <v>47.517727738478797</v>
      </c>
      <c r="N87" s="2">
        <v>47.302791254644802</v>
      </c>
      <c r="O87" s="2">
        <v>46.247219238793598</v>
      </c>
      <c r="P87" s="2">
        <v>49.072373862696402</v>
      </c>
      <c r="Q87" s="2">
        <v>54.295131044529199</v>
      </c>
      <c r="R87" s="2">
        <v>31.708566349394399</v>
      </c>
      <c r="S87" s="2">
        <v>31.820827623668201</v>
      </c>
      <c r="T87" s="2">
        <v>32.223115193264398</v>
      </c>
      <c r="U87" s="2">
        <v>47.479192128686599</v>
      </c>
      <c r="V87" s="2">
        <v>53.692449662358101</v>
      </c>
      <c r="W87" s="2">
        <v>47.763089021394201</v>
      </c>
      <c r="X87" s="2">
        <v>48.113100749354899</v>
      </c>
      <c r="Y87" s="2">
        <v>59.783359875560102</v>
      </c>
      <c r="Z87" s="2">
        <v>0.44683213502338798</v>
      </c>
      <c r="AA87" s="2">
        <f>MAX(120*16*Z87/SUM(Z:Z),0.75)</f>
        <v>6.3820734160333092</v>
      </c>
      <c r="AB87" s="2">
        <f>AA87-F87</f>
        <v>-10.457926583966691</v>
      </c>
    </row>
    <row r="88" spans="1:28" hidden="1" x14ac:dyDescent="0.25">
      <c r="B88" s="1">
        <v>190</v>
      </c>
      <c r="C88" s="1" t="s">
        <v>128</v>
      </c>
      <c r="D88" s="1" t="s">
        <v>37</v>
      </c>
      <c r="E88" s="1">
        <v>32</v>
      </c>
      <c r="F88" s="1">
        <v>1.1499999999999999</v>
      </c>
      <c r="G88" s="1">
        <v>2086</v>
      </c>
      <c r="H88" s="2">
        <v>30.749600723317698</v>
      </c>
      <c r="I88" s="2">
        <v>54.8501128534093</v>
      </c>
      <c r="J88" s="2">
        <v>54.968021567540397</v>
      </c>
      <c r="K88" s="2">
        <v>44.975703518914401</v>
      </c>
      <c r="L88" s="2">
        <v>53.032440405480301</v>
      </c>
      <c r="M88" s="2">
        <v>53.948308518782497</v>
      </c>
      <c r="N88" s="2">
        <v>47.739645204719999</v>
      </c>
      <c r="O88" s="2">
        <v>46.623119109843898</v>
      </c>
      <c r="P88" s="2">
        <v>44.712599984160903</v>
      </c>
      <c r="Q88" s="2">
        <v>58.221027691982698</v>
      </c>
      <c r="R88" s="2">
        <v>52.835115229270599</v>
      </c>
      <c r="S88" s="2">
        <v>50.443157519600803</v>
      </c>
      <c r="T88" s="2">
        <v>52.605597133127397</v>
      </c>
      <c r="U88" s="2">
        <v>51.735685435970503</v>
      </c>
      <c r="V88" s="2">
        <v>49.854019825242197</v>
      </c>
      <c r="W88" s="2">
        <v>57.198097331115797</v>
      </c>
      <c r="X88" s="2">
        <v>50.052919009529802</v>
      </c>
      <c r="Y88" s="2">
        <v>48.159334494865497</v>
      </c>
      <c r="Z88" s="2">
        <v>1.3229416519595E-2</v>
      </c>
      <c r="AA88" s="2">
        <f>MAX(120*16*Z88/SUM(Z:Z),0.75)</f>
        <v>0.75</v>
      </c>
      <c r="AB88" s="2">
        <f>AA88-F88</f>
        <v>-0.39999999999999991</v>
      </c>
    </row>
    <row r="89" spans="1:28" hidden="1" x14ac:dyDescent="0.25">
      <c r="A89" s="1">
        <v>1</v>
      </c>
      <c r="B89" s="1">
        <v>138</v>
      </c>
      <c r="C89" s="1" t="s">
        <v>133</v>
      </c>
      <c r="D89" s="1" t="s">
        <v>35</v>
      </c>
      <c r="E89" s="1">
        <v>24</v>
      </c>
      <c r="F89" s="1">
        <v>2.68</v>
      </c>
      <c r="G89" s="1">
        <v>2087</v>
      </c>
      <c r="H89" s="2">
        <v>24.246438746438699</v>
      </c>
      <c r="I89" s="2">
        <v>54.798931623931601</v>
      </c>
      <c r="J89" s="2">
        <v>60.808201058201</v>
      </c>
      <c r="K89" s="2">
        <v>26.254609279609198</v>
      </c>
      <c r="L89" s="2">
        <v>50.768019943019901</v>
      </c>
      <c r="M89" s="2">
        <v>70.046326821326801</v>
      </c>
      <c r="N89" s="2">
        <v>68.725010175010098</v>
      </c>
      <c r="O89" s="2">
        <v>51.542836792836702</v>
      </c>
      <c r="P89" s="2">
        <v>40.077492877492801</v>
      </c>
      <c r="Q89" s="2">
        <v>37.690944240944198</v>
      </c>
      <c r="R89" s="2">
        <v>51.957773707773697</v>
      </c>
      <c r="S89" s="2">
        <v>54.009076109076098</v>
      </c>
      <c r="T89" s="2">
        <v>50.263848188848101</v>
      </c>
      <c r="U89" s="2">
        <v>48.113858363858299</v>
      </c>
      <c r="V89" s="2">
        <v>45.218874643874599</v>
      </c>
      <c r="W89" s="2">
        <v>68.422873422873394</v>
      </c>
      <c r="X89" s="2">
        <v>68.110846560846497</v>
      </c>
      <c r="Y89" s="2">
        <v>46.879599104599102</v>
      </c>
      <c r="Z89" s="2">
        <v>0.39864265223893403</v>
      </c>
      <c r="AA89" s="2">
        <f>MAX(120*16*Z89/SUM(Z:Z),0.75)</f>
        <v>5.693786265434885</v>
      </c>
      <c r="AB89" s="2">
        <f>AA89-F89</f>
        <v>3.0137862654348848</v>
      </c>
    </row>
    <row r="90" spans="1:28" hidden="1" x14ac:dyDescent="0.25">
      <c r="A90" s="1">
        <v>1</v>
      </c>
      <c r="B90" s="1">
        <v>22</v>
      </c>
      <c r="C90" s="1" t="s">
        <v>134</v>
      </c>
      <c r="D90" s="1" t="s">
        <v>55</v>
      </c>
      <c r="E90" s="1">
        <v>21</v>
      </c>
      <c r="F90" s="1">
        <v>5.44</v>
      </c>
      <c r="G90" s="1">
        <v>2085</v>
      </c>
      <c r="H90" s="2">
        <v>22.777738927738898</v>
      </c>
      <c r="I90" s="2">
        <v>54.684498834498797</v>
      </c>
      <c r="J90" s="2">
        <v>63.312898212898197</v>
      </c>
      <c r="K90" s="2">
        <v>52.585353535353498</v>
      </c>
      <c r="L90" s="2">
        <v>49.547591297591303</v>
      </c>
      <c r="M90" s="2">
        <v>63.207031857031801</v>
      </c>
      <c r="N90" s="2">
        <v>63.907770007769997</v>
      </c>
      <c r="O90" s="2">
        <v>44.447513597513598</v>
      </c>
      <c r="P90" s="2">
        <v>35.302447552447497</v>
      </c>
      <c r="Q90" s="2">
        <v>53.187373737373697</v>
      </c>
      <c r="R90" s="2">
        <v>48.982634032634003</v>
      </c>
      <c r="S90" s="2">
        <v>48.109362859362797</v>
      </c>
      <c r="T90" s="2">
        <v>49.345415695415703</v>
      </c>
      <c r="U90" s="2">
        <v>42.784537684537597</v>
      </c>
      <c r="V90" s="2">
        <v>45.665190365190298</v>
      </c>
      <c r="W90" s="2">
        <v>54.328205128205099</v>
      </c>
      <c r="X90" s="2">
        <v>47.355905205905202</v>
      </c>
      <c r="Y90" s="2">
        <v>47.140248640248601</v>
      </c>
      <c r="Z90" s="2">
        <v>0.25750909085567802</v>
      </c>
      <c r="AA90" s="2">
        <f>MAX(120*16*Z90/SUM(Z:Z),0.75)</f>
        <v>3.6779850738598023</v>
      </c>
      <c r="AB90" s="2">
        <f>AA90-F90</f>
        <v>-1.7620149261401981</v>
      </c>
    </row>
    <row r="91" spans="1:28" hidden="1" x14ac:dyDescent="0.25">
      <c r="A91" s="1">
        <v>1</v>
      </c>
      <c r="B91" s="1">
        <v>115</v>
      </c>
      <c r="C91" s="1" t="s">
        <v>130</v>
      </c>
      <c r="D91" s="1" t="s">
        <v>43</v>
      </c>
      <c r="E91" s="1">
        <v>23</v>
      </c>
      <c r="F91" s="1">
        <v>15.979999999999899</v>
      </c>
      <c r="G91" s="1">
        <v>2086</v>
      </c>
      <c r="H91" s="2">
        <v>23.9784858387799</v>
      </c>
      <c r="I91" s="2">
        <v>54.663834422657899</v>
      </c>
      <c r="J91" s="2">
        <v>61.140849673202602</v>
      </c>
      <c r="K91" s="2">
        <v>62.814923747276602</v>
      </c>
      <c r="L91" s="2">
        <v>57.733333333333299</v>
      </c>
      <c r="M91" s="2">
        <v>47.917047930283204</v>
      </c>
      <c r="N91" s="2">
        <v>47.197385620915</v>
      </c>
      <c r="O91" s="2">
        <v>42.729193899782103</v>
      </c>
      <c r="P91" s="2">
        <v>44.601252723311497</v>
      </c>
      <c r="Q91" s="2">
        <v>53.405936819172098</v>
      </c>
      <c r="R91" s="2">
        <v>34.727069716775503</v>
      </c>
      <c r="S91" s="2">
        <v>35.3303921568627</v>
      </c>
      <c r="T91" s="2">
        <v>34.1483660130719</v>
      </c>
      <c r="U91" s="2">
        <v>49.622440087145897</v>
      </c>
      <c r="V91" s="2">
        <v>51.405882352941099</v>
      </c>
      <c r="W91" s="2">
        <v>50.656045751633897</v>
      </c>
      <c r="X91" s="2">
        <v>51.559531590413897</v>
      </c>
      <c r="Y91" s="2">
        <v>62.483006535947702</v>
      </c>
      <c r="Z91" s="2">
        <v>0.96155547536679797</v>
      </c>
      <c r="AA91" s="2">
        <f>MAX(120*16*Z91/SUM(Z:Z),0.75)</f>
        <v>13.733832364269205</v>
      </c>
      <c r="AB91" s="2">
        <f>AA91-F91</f>
        <v>-2.2461676357306946</v>
      </c>
    </row>
    <row r="92" spans="1:28" hidden="1" x14ac:dyDescent="0.25">
      <c r="A92" s="1">
        <v>1</v>
      </c>
      <c r="B92" s="1">
        <v>136</v>
      </c>
      <c r="C92" s="1" t="s">
        <v>131</v>
      </c>
      <c r="D92" s="1" t="s">
        <v>53</v>
      </c>
      <c r="E92" s="1">
        <v>28</v>
      </c>
      <c r="F92" s="1">
        <v>2.71</v>
      </c>
      <c r="G92" s="1">
        <v>2085</v>
      </c>
      <c r="H92" s="2">
        <v>27.620056980056901</v>
      </c>
      <c r="I92" s="2">
        <v>54.652649572649501</v>
      </c>
      <c r="J92" s="2">
        <v>56.2291737891737</v>
      </c>
      <c r="K92" s="2">
        <v>48.504729344729299</v>
      </c>
      <c r="L92" s="2">
        <v>51.8732193732193</v>
      </c>
      <c r="M92" s="2">
        <v>54.631111111111103</v>
      </c>
      <c r="N92" s="2">
        <v>50.197834757834698</v>
      </c>
      <c r="O92" s="2">
        <v>46.143247863247801</v>
      </c>
      <c r="P92" s="2">
        <v>41.7295156695156</v>
      </c>
      <c r="Q92" s="2">
        <v>53.877207977207902</v>
      </c>
      <c r="R92" s="2">
        <v>54.682450142450101</v>
      </c>
      <c r="S92" s="2">
        <v>57.916182336182302</v>
      </c>
      <c r="T92" s="2">
        <v>54.827008547008496</v>
      </c>
      <c r="U92" s="2">
        <v>46.625925925925898</v>
      </c>
      <c r="V92" s="2">
        <v>49.595954415954402</v>
      </c>
      <c r="W92" s="2">
        <v>56.463874643874597</v>
      </c>
      <c r="X92" s="2">
        <v>49.446780626780601</v>
      </c>
      <c r="Y92" s="2">
        <v>51.029515669515597</v>
      </c>
      <c r="Z92" s="2">
        <v>0.37549410553238399</v>
      </c>
      <c r="AA92" s="2">
        <f>MAX(120*16*Z92/SUM(Z:Z),0.75)</f>
        <v>5.3631571253710302</v>
      </c>
      <c r="AB92" s="2">
        <f>AA92-F92</f>
        <v>2.6531571253710302</v>
      </c>
    </row>
    <row r="93" spans="1:28" hidden="1" x14ac:dyDescent="0.25">
      <c r="A93" s="1">
        <v>1</v>
      </c>
      <c r="B93" s="1">
        <v>205</v>
      </c>
      <c r="C93" s="1" t="s">
        <v>132</v>
      </c>
      <c r="D93" s="1" t="s">
        <v>75</v>
      </c>
      <c r="E93" s="1">
        <v>28</v>
      </c>
      <c r="F93" s="1">
        <v>0.86</v>
      </c>
      <c r="G93" s="1">
        <v>2085</v>
      </c>
      <c r="H93" s="2">
        <v>28.065848727138999</v>
      </c>
      <c r="I93" s="2">
        <v>54.632020718854903</v>
      </c>
      <c r="J93" s="2">
        <v>56.093763291250099</v>
      </c>
      <c r="K93" s="2">
        <v>23.378465877153001</v>
      </c>
      <c r="L93" s="2">
        <v>46.169726192231799</v>
      </c>
      <c r="M93" s="2">
        <v>61.155075627881303</v>
      </c>
      <c r="N93" s="2">
        <v>58.910854850464702</v>
      </c>
      <c r="O93" s="2">
        <v>47.506332245454502</v>
      </c>
      <c r="P93" s="2">
        <v>40.103331922724202</v>
      </c>
      <c r="Q93" s="2">
        <v>36.089595582656301</v>
      </c>
      <c r="R93" s="2">
        <v>54.764904367117403</v>
      </c>
      <c r="S93" s="2">
        <v>55.362303716954798</v>
      </c>
      <c r="T93" s="2">
        <v>56.483502820149397</v>
      </c>
      <c r="U93" s="2">
        <v>52.527637785514699</v>
      </c>
      <c r="V93" s="2">
        <v>49.764679417717602</v>
      </c>
      <c r="W93" s="2">
        <v>75.129408954802798</v>
      </c>
      <c r="X93" s="2">
        <v>75.732081524654603</v>
      </c>
      <c r="Y93" s="2">
        <v>51.4190427948867</v>
      </c>
      <c r="Z93" s="2">
        <v>2.0406454775380598</v>
      </c>
      <c r="AA93" s="2">
        <f>MAX(120*16*Z93/SUM(Z:Z),0.75)</f>
        <v>29.146402491984094</v>
      </c>
      <c r="AB93" s="2">
        <f>AA93-F93</f>
        <v>28.286402491984095</v>
      </c>
    </row>
    <row r="94" spans="1:28" x14ac:dyDescent="0.25">
      <c r="A94" s="1">
        <v>1</v>
      </c>
      <c r="B94" s="1">
        <v>20</v>
      </c>
      <c r="C94" s="1" t="s">
        <v>136</v>
      </c>
      <c r="D94" s="1" t="s">
        <v>75</v>
      </c>
      <c r="E94" s="1">
        <v>22</v>
      </c>
      <c r="F94" s="1">
        <v>2.57</v>
      </c>
      <c r="G94" s="1">
        <v>2085</v>
      </c>
      <c r="H94" s="2">
        <v>25.571620319926701</v>
      </c>
      <c r="I94" s="2">
        <v>54.412851153536401</v>
      </c>
      <c r="J94" s="2">
        <v>58.621225938383297</v>
      </c>
      <c r="K94" s="2">
        <v>25.212099499423601</v>
      </c>
      <c r="L94" s="2">
        <v>48.531469594327802</v>
      </c>
      <c r="M94" s="2">
        <v>67.193345650354502</v>
      </c>
      <c r="N94" s="2">
        <v>67.555304214631903</v>
      </c>
      <c r="O94" s="2">
        <v>47.5950147646343</v>
      </c>
      <c r="P94" s="2">
        <v>35.7810096799153</v>
      </c>
      <c r="Q94" s="2">
        <v>36.871599002005397</v>
      </c>
      <c r="R94" s="2">
        <v>44.414327616972201</v>
      </c>
      <c r="S94" s="2">
        <v>40.082839862933596</v>
      </c>
      <c r="T94" s="2">
        <v>45.216337423215997</v>
      </c>
      <c r="U94" s="2">
        <v>53.955528447581599</v>
      </c>
      <c r="V94" s="2">
        <v>46.1992751906769</v>
      </c>
      <c r="W94" s="2">
        <v>72.950832583258304</v>
      </c>
      <c r="X94" s="2">
        <v>75.007581679220493</v>
      </c>
      <c r="Y94" s="2">
        <v>50.515183097257101</v>
      </c>
      <c r="Z94" s="2">
        <v>1.7030036903055701</v>
      </c>
      <c r="AA94" s="2">
        <f>MAX(120*16*Z94/SUM(Z:Z),0.75)</f>
        <v>24.323887490179985</v>
      </c>
      <c r="AB94" s="2">
        <f>AA94-F94</f>
        <v>21.753887490179984</v>
      </c>
    </row>
    <row r="95" spans="1:28" hidden="1" x14ac:dyDescent="0.25">
      <c r="B95" s="1">
        <v>157</v>
      </c>
      <c r="C95" s="1" t="s">
        <v>138</v>
      </c>
      <c r="D95" s="1" t="s">
        <v>53</v>
      </c>
      <c r="E95" s="1">
        <v>28</v>
      </c>
      <c r="F95" s="1">
        <v>5.77</v>
      </c>
      <c r="G95" s="1">
        <v>2087</v>
      </c>
      <c r="H95" s="2">
        <v>27.796699420508901</v>
      </c>
      <c r="I95" s="2">
        <v>54.386255983875003</v>
      </c>
      <c r="J95" s="2">
        <v>55.760997732426297</v>
      </c>
      <c r="K95" s="2">
        <v>44.526921138825898</v>
      </c>
      <c r="L95" s="2">
        <v>52.189084152179298</v>
      </c>
      <c r="M95" s="2">
        <v>63.8274376417233</v>
      </c>
      <c r="N95" s="2">
        <v>59.009372637943997</v>
      </c>
      <c r="O95" s="2">
        <v>49.211583522297801</v>
      </c>
      <c r="P95" s="2">
        <v>41.402695893172002</v>
      </c>
      <c r="Q95" s="2">
        <v>51.6887818090199</v>
      </c>
      <c r="R95" s="2">
        <v>51.270502645502603</v>
      </c>
      <c r="S95" s="2">
        <v>50.800428319475898</v>
      </c>
      <c r="T95" s="2">
        <v>52.068512219702598</v>
      </c>
      <c r="U95" s="2">
        <v>43.990450995212903</v>
      </c>
      <c r="V95" s="2">
        <v>48.574023683547402</v>
      </c>
      <c r="W95" s="2">
        <v>52.809561602418697</v>
      </c>
      <c r="X95" s="2">
        <v>46.335260770974998</v>
      </c>
      <c r="Y95" s="2">
        <v>43.617277651801402</v>
      </c>
      <c r="Z95" s="2">
        <v>-0.42777440242297399</v>
      </c>
      <c r="AA95" s="2">
        <f>MAX(120*16*Z95/SUM(Z:Z),0.75)</f>
        <v>0.75</v>
      </c>
      <c r="AB95" s="2">
        <f>AA95-F95</f>
        <v>-5.0199999999999996</v>
      </c>
    </row>
    <row r="96" spans="1:28" hidden="1" x14ac:dyDescent="0.25">
      <c r="A96" s="1">
        <v>1</v>
      </c>
      <c r="B96" s="1">
        <v>28</v>
      </c>
      <c r="C96" s="1" t="s">
        <v>144</v>
      </c>
      <c r="D96" s="1" t="s">
        <v>75</v>
      </c>
      <c r="E96" s="1">
        <v>26</v>
      </c>
      <c r="F96" s="1">
        <v>4.51</v>
      </c>
      <c r="G96" s="1">
        <v>2088</v>
      </c>
      <c r="H96" s="2">
        <v>25.476093740799602</v>
      </c>
      <c r="I96" s="2">
        <v>54.293734911381897</v>
      </c>
      <c r="J96" s="2">
        <v>58.258920685391203</v>
      </c>
      <c r="K96" s="2">
        <v>41.886136136136102</v>
      </c>
      <c r="L96" s="2">
        <v>59.668300653594699</v>
      </c>
      <c r="M96" s="2">
        <v>59.916431137019302</v>
      </c>
      <c r="N96" s="2">
        <v>57.567626449979301</v>
      </c>
      <c r="O96" s="2">
        <v>51.625507860801903</v>
      </c>
      <c r="P96" s="2">
        <v>54.529941706412203</v>
      </c>
      <c r="Q96" s="2">
        <v>52.753253253253199</v>
      </c>
      <c r="R96" s="2">
        <v>34.762836365777503</v>
      </c>
      <c r="S96" s="2">
        <v>32.8694429723841</v>
      </c>
      <c r="T96" s="2">
        <v>33.585806394629898</v>
      </c>
      <c r="U96" s="2">
        <v>48.544073485249903</v>
      </c>
      <c r="V96" s="2">
        <v>52.376346935170403</v>
      </c>
      <c r="W96" s="2">
        <v>53.9425454866631</v>
      </c>
      <c r="X96" s="2">
        <v>53.5458841194135</v>
      </c>
      <c r="Y96" s="2">
        <v>50.962300535829897</v>
      </c>
      <c r="Z96" s="2">
        <v>-1.1061043060810301</v>
      </c>
      <c r="AA96" s="2">
        <f>MAX(120*16*Z96/SUM(Z:Z),0.75)</f>
        <v>0.75</v>
      </c>
      <c r="AB96" s="2">
        <f>AA96-F96</f>
        <v>-3.76</v>
      </c>
    </row>
    <row r="97" spans="1:28" x14ac:dyDescent="0.25">
      <c r="A97" s="1">
        <v>1</v>
      </c>
      <c r="B97" s="1">
        <v>171</v>
      </c>
      <c r="C97" s="1" t="s">
        <v>140</v>
      </c>
      <c r="D97" s="1" t="s">
        <v>41</v>
      </c>
      <c r="E97" s="1">
        <v>28</v>
      </c>
      <c r="F97" s="1">
        <v>2.34</v>
      </c>
      <c r="G97" s="1">
        <v>2085</v>
      </c>
      <c r="H97" s="2">
        <v>27.7068803418803</v>
      </c>
      <c r="I97" s="2">
        <v>54.250085470085402</v>
      </c>
      <c r="J97" s="2">
        <v>55.797521367521298</v>
      </c>
      <c r="K97" s="2">
        <v>44.405619658119598</v>
      </c>
      <c r="L97" s="2">
        <v>49.981923076923003</v>
      </c>
      <c r="M97" s="2">
        <v>50.9933974358974</v>
      </c>
      <c r="N97" s="2">
        <v>47.447713675213599</v>
      </c>
      <c r="O97" s="2">
        <v>46.3864316239316</v>
      </c>
      <c r="P97" s="2">
        <v>42.007264957264901</v>
      </c>
      <c r="Q97" s="2">
        <v>50.415042735042697</v>
      </c>
      <c r="R97" s="2">
        <v>57.714829059829</v>
      </c>
      <c r="S97" s="2">
        <v>56.3572008547008</v>
      </c>
      <c r="T97" s="2">
        <v>58.673461538461503</v>
      </c>
      <c r="U97" s="2">
        <v>49.787051282051202</v>
      </c>
      <c r="V97" s="2">
        <v>51.588760683760597</v>
      </c>
      <c r="W97" s="2">
        <v>56.883547008546998</v>
      </c>
      <c r="X97" s="2">
        <v>51.137628205128202</v>
      </c>
      <c r="Y97" s="2">
        <v>50.535598290598202</v>
      </c>
      <c r="Z97" s="2">
        <v>0.23234055965144901</v>
      </c>
      <c r="AA97" s="2">
        <f>MAX(120*16*Z97/SUM(Z:Z),0.75)</f>
        <v>3.3185046306935844</v>
      </c>
      <c r="AB97" s="2">
        <f>AA97-F97</f>
        <v>0.97850463069358451</v>
      </c>
    </row>
    <row r="98" spans="1:28" hidden="1" x14ac:dyDescent="0.25">
      <c r="A98" s="1">
        <v>1</v>
      </c>
      <c r="B98" s="1">
        <v>164</v>
      </c>
      <c r="C98" s="1" t="s">
        <v>139</v>
      </c>
      <c r="D98" s="1" t="s">
        <v>46</v>
      </c>
      <c r="E98" s="1">
        <v>30</v>
      </c>
      <c r="F98" s="1">
        <v>1.28</v>
      </c>
      <c r="G98" s="1">
        <v>2087</v>
      </c>
      <c r="H98" s="2">
        <v>27.9282828282828</v>
      </c>
      <c r="I98" s="2">
        <v>54.170822510822497</v>
      </c>
      <c r="J98" s="2">
        <v>55.381125541125499</v>
      </c>
      <c r="K98" s="2">
        <v>61.936479076479003</v>
      </c>
      <c r="L98" s="2">
        <v>57.099884559884501</v>
      </c>
      <c r="M98" s="2">
        <v>40.86329004329</v>
      </c>
      <c r="N98" s="2">
        <v>36.750533910533903</v>
      </c>
      <c r="O98" s="2">
        <v>46.8332178932178</v>
      </c>
      <c r="P98" s="2">
        <v>51.315411255411199</v>
      </c>
      <c r="Q98" s="2">
        <v>54.163203463203402</v>
      </c>
      <c r="R98" s="2">
        <v>37.034516594516496</v>
      </c>
      <c r="S98" s="2">
        <v>37.366839826839801</v>
      </c>
      <c r="T98" s="2">
        <v>35.066291486291398</v>
      </c>
      <c r="U98" s="2">
        <v>50.866839826839801</v>
      </c>
      <c r="V98" s="2">
        <v>54.799365079365003</v>
      </c>
      <c r="W98" s="2">
        <v>49.791024531024497</v>
      </c>
      <c r="X98" s="2">
        <v>50.469581529581497</v>
      </c>
      <c r="Y98" s="2">
        <v>68.052063492063496</v>
      </c>
      <c r="Z98" s="2">
        <v>0.25420856141057402</v>
      </c>
      <c r="AA98" s="2">
        <f>MAX(120*16*Z98/SUM(Z:Z),0.75)</f>
        <v>3.6308438331580097</v>
      </c>
      <c r="AB98" s="2">
        <f>AA98-F98</f>
        <v>2.3508438331580095</v>
      </c>
    </row>
    <row r="99" spans="1:28" hidden="1" x14ac:dyDescent="0.25">
      <c r="A99" s="1">
        <v>1</v>
      </c>
      <c r="B99" s="1">
        <v>181</v>
      </c>
      <c r="C99" s="1" t="s">
        <v>135</v>
      </c>
      <c r="D99" s="1" t="s">
        <v>55</v>
      </c>
      <c r="E99" s="1">
        <v>33</v>
      </c>
      <c r="F99" s="1">
        <v>0.89</v>
      </c>
      <c r="G99" s="1">
        <v>2087</v>
      </c>
      <c r="H99" s="2">
        <v>32.051805566403701</v>
      </c>
      <c r="I99" s="2">
        <v>54.129347288395898</v>
      </c>
      <c r="J99" s="2">
        <v>54.156434689786202</v>
      </c>
      <c r="K99" s="2">
        <v>51.676359707360199</v>
      </c>
      <c r="L99" s="2">
        <v>48.693764482282802</v>
      </c>
      <c r="M99" s="2">
        <v>39.196115493764403</v>
      </c>
      <c r="N99" s="2">
        <v>32.0154260720143</v>
      </c>
      <c r="O99" s="2">
        <v>41.605824155796803</v>
      </c>
      <c r="P99" s="2">
        <v>46.059683928245903</v>
      </c>
      <c r="Q99" s="2">
        <v>55.317896847093103</v>
      </c>
      <c r="R99" s="2">
        <v>62.001249707099902</v>
      </c>
      <c r="S99" s="2">
        <v>62.128266812465803</v>
      </c>
      <c r="T99" s="2">
        <v>63.640433231794603</v>
      </c>
      <c r="U99" s="2">
        <v>52.016811164049997</v>
      </c>
      <c r="V99" s="2">
        <v>52.395154781431401</v>
      </c>
      <c r="W99" s="2">
        <v>59.928032492384602</v>
      </c>
      <c r="X99" s="2">
        <v>51.090671457210497</v>
      </c>
      <c r="Y99" s="2">
        <v>55.387380561847401</v>
      </c>
      <c r="Z99" s="2">
        <v>1.06285040502698</v>
      </c>
      <c r="AA99" s="2">
        <f>MAX(120*16*Z99/SUM(Z:Z),0.75)</f>
        <v>15.180621050873793</v>
      </c>
      <c r="AB99" s="2">
        <f>AA99-F99</f>
        <v>14.290621050873792</v>
      </c>
    </row>
    <row r="100" spans="1:28" hidden="1" x14ac:dyDescent="0.25">
      <c r="A100" s="1">
        <v>1</v>
      </c>
      <c r="B100" s="1">
        <v>191</v>
      </c>
      <c r="C100" s="1" t="s">
        <v>137</v>
      </c>
      <c r="D100" s="1" t="s">
        <v>75</v>
      </c>
      <c r="E100" s="1">
        <v>31</v>
      </c>
      <c r="F100" s="1">
        <v>2.5099999999999998</v>
      </c>
      <c r="G100" s="1">
        <v>2085</v>
      </c>
      <c r="H100" s="2">
        <v>29.8188216576077</v>
      </c>
      <c r="I100" s="2">
        <v>53.9551380603898</v>
      </c>
      <c r="J100" s="2">
        <v>54.337580556909003</v>
      </c>
      <c r="K100" s="2">
        <v>27.288446164253301</v>
      </c>
      <c r="L100" s="2">
        <v>46.895664315595397</v>
      </c>
      <c r="M100" s="2">
        <v>57.328572059308101</v>
      </c>
      <c r="N100" s="2">
        <v>55.166133694114698</v>
      </c>
      <c r="O100" s="2">
        <v>48.0187604761431</v>
      </c>
      <c r="P100" s="2">
        <v>39.098591249473699</v>
      </c>
      <c r="Q100" s="2">
        <v>37.716441257121403</v>
      </c>
      <c r="R100" s="2">
        <v>56.985669661089297</v>
      </c>
      <c r="S100" s="2">
        <v>60.543454608241497</v>
      </c>
      <c r="T100" s="2">
        <v>60.042763163081702</v>
      </c>
      <c r="U100" s="2">
        <v>50.099149451495499</v>
      </c>
      <c r="V100" s="2">
        <v>48.623330321565298</v>
      </c>
      <c r="W100" s="2">
        <v>72.602851876205307</v>
      </c>
      <c r="X100" s="2">
        <v>71.8969470764563</v>
      </c>
      <c r="Y100" s="2">
        <v>50.334865235209598</v>
      </c>
      <c r="Z100" s="2">
        <v>1.44009374270646</v>
      </c>
      <c r="AA100" s="2">
        <f>MAX(120*16*Z100/SUM(Z:Z),0.75)</f>
        <v>20.568762341682852</v>
      </c>
      <c r="AB100" s="2">
        <f>AA100-F100</f>
        <v>18.058762341682851</v>
      </c>
    </row>
    <row r="101" spans="1:28" hidden="1" x14ac:dyDescent="0.25">
      <c r="A101" s="1">
        <v>1</v>
      </c>
      <c r="B101" s="1">
        <v>34</v>
      </c>
      <c r="C101" s="1" t="s">
        <v>141</v>
      </c>
      <c r="D101" s="1" t="s">
        <v>37</v>
      </c>
      <c r="E101" s="1">
        <v>25</v>
      </c>
      <c r="F101" s="1">
        <v>3.31</v>
      </c>
      <c r="G101" s="1">
        <v>2088</v>
      </c>
      <c r="H101" s="2">
        <v>24.576225402504399</v>
      </c>
      <c r="I101" s="2">
        <v>53.953780560524699</v>
      </c>
      <c r="J101" s="2">
        <v>58.987334525939097</v>
      </c>
      <c r="K101" s="2">
        <v>42.212856290995802</v>
      </c>
      <c r="L101" s="2">
        <v>50.7136493738819</v>
      </c>
      <c r="M101" s="2">
        <v>63.942599880739401</v>
      </c>
      <c r="N101" s="2">
        <v>60.994788312462703</v>
      </c>
      <c r="O101" s="2">
        <v>45.925259391771</v>
      </c>
      <c r="P101" s="2">
        <v>39.972426952892</v>
      </c>
      <c r="Q101" s="2">
        <v>50.253369111508597</v>
      </c>
      <c r="R101" s="2">
        <v>52.2899403697078</v>
      </c>
      <c r="S101" s="2">
        <v>53.4641085271317</v>
      </c>
      <c r="T101" s="2">
        <v>54.260053667262902</v>
      </c>
      <c r="U101" s="2">
        <v>44.3981454979129</v>
      </c>
      <c r="V101" s="2">
        <v>47.050125223613598</v>
      </c>
      <c r="W101" s="2">
        <v>54.549367918902803</v>
      </c>
      <c r="X101" s="2">
        <v>49.195324985092398</v>
      </c>
      <c r="Y101" s="2">
        <v>44.736302921884302</v>
      </c>
      <c r="Z101" s="2">
        <v>-0.39110827303587598</v>
      </c>
      <c r="AA101" s="2">
        <f>MAX(120*16*Z101/SUM(Z:Z),0.75)</f>
        <v>0.75</v>
      </c>
      <c r="AB101" s="2">
        <f>AA101-F101</f>
        <v>-2.56</v>
      </c>
    </row>
    <row r="102" spans="1:28" hidden="1" x14ac:dyDescent="0.25">
      <c r="A102" s="1">
        <v>1</v>
      </c>
      <c r="B102" s="1">
        <v>17</v>
      </c>
      <c r="C102" s="1" t="s">
        <v>145</v>
      </c>
      <c r="D102" s="1" t="s">
        <v>60</v>
      </c>
      <c r="E102" s="1">
        <v>22</v>
      </c>
      <c r="F102" s="1">
        <v>2.57</v>
      </c>
      <c r="G102" s="1">
        <v>2086</v>
      </c>
      <c r="H102" s="2">
        <v>23.968450926290799</v>
      </c>
      <c r="I102" s="2">
        <v>53.8935277887268</v>
      </c>
      <c r="J102" s="2">
        <v>60.130747602154699</v>
      </c>
      <c r="K102" s="2">
        <v>61.871864406779601</v>
      </c>
      <c r="L102" s="2">
        <v>58.924409407436599</v>
      </c>
      <c r="M102" s="2">
        <v>49.056250164235898</v>
      </c>
      <c r="N102" s="2">
        <v>48.736907108132897</v>
      </c>
      <c r="O102" s="2">
        <v>45.406516883458103</v>
      </c>
      <c r="P102" s="2">
        <v>51.295882275653597</v>
      </c>
      <c r="Q102" s="2">
        <v>54.0962869530942</v>
      </c>
      <c r="R102" s="2">
        <v>33.800420444094001</v>
      </c>
      <c r="S102" s="2">
        <v>32.082727631060301</v>
      </c>
      <c r="T102" s="2">
        <v>32.6201340165549</v>
      </c>
      <c r="U102" s="2">
        <v>46.488093548810902</v>
      </c>
      <c r="V102" s="2">
        <v>50.322191564840303</v>
      </c>
      <c r="W102" s="2">
        <v>48.365124162396498</v>
      </c>
      <c r="X102" s="2">
        <v>49.265699645250301</v>
      </c>
      <c r="Y102" s="2">
        <v>60.380754171593701</v>
      </c>
      <c r="Z102" s="2">
        <v>-7.5856901342228694E-2</v>
      </c>
      <c r="AA102" s="2">
        <f>MAX(120*16*Z102/SUM(Z:Z),0.75)</f>
        <v>0.75</v>
      </c>
      <c r="AB102" s="2">
        <f>AA102-F102</f>
        <v>-1.8199999999999998</v>
      </c>
    </row>
    <row r="103" spans="1:28" hidden="1" x14ac:dyDescent="0.25">
      <c r="A103" s="1">
        <v>1</v>
      </c>
      <c r="B103" s="1">
        <v>4</v>
      </c>
      <c r="C103" s="1" t="s">
        <v>152</v>
      </c>
      <c r="D103" s="1" t="s">
        <v>53</v>
      </c>
      <c r="E103" s="1">
        <v>20</v>
      </c>
      <c r="F103" s="1">
        <v>2.31</v>
      </c>
      <c r="G103" s="1">
        <v>2086</v>
      </c>
      <c r="H103" s="2">
        <v>22.222253245846701</v>
      </c>
      <c r="I103" s="2">
        <v>53.8573223509702</v>
      </c>
      <c r="J103" s="2">
        <v>64.603006189213005</v>
      </c>
      <c r="K103" s="2">
        <v>51.108101819535499</v>
      </c>
      <c r="L103" s="2">
        <v>53.074410163339302</v>
      </c>
      <c r="M103" s="2">
        <v>65.871981013541799</v>
      </c>
      <c r="N103" s="2">
        <v>65.338312625063907</v>
      </c>
      <c r="O103" s="2">
        <v>42.794592582251298</v>
      </c>
      <c r="P103" s="2">
        <v>35.711154544185398</v>
      </c>
      <c r="Q103" s="2">
        <v>54.880217785843897</v>
      </c>
      <c r="R103" s="2">
        <v>48.3517613662804</v>
      </c>
      <c r="S103" s="2">
        <v>51.399413653497099</v>
      </c>
      <c r="T103" s="2">
        <v>45.654846665735903</v>
      </c>
      <c r="U103" s="2">
        <v>39.661128949695097</v>
      </c>
      <c r="V103" s="2">
        <v>44.588114849457803</v>
      </c>
      <c r="W103" s="2">
        <v>52.099585834613002</v>
      </c>
      <c r="X103" s="2">
        <v>48.427288380101402</v>
      </c>
      <c r="Y103" s="2">
        <v>48.469728698403799</v>
      </c>
      <c r="Z103" s="2">
        <v>0.26327416038346202</v>
      </c>
      <c r="AA103" s="2">
        <f>MAX(120*16*Z103/SUM(Z:Z),0.75)</f>
        <v>3.7603271752687086</v>
      </c>
      <c r="AB103" s="2">
        <f>AA103-F103</f>
        <v>1.4503271752687086</v>
      </c>
    </row>
    <row r="104" spans="1:28" hidden="1" x14ac:dyDescent="0.25">
      <c r="A104" s="1">
        <v>1</v>
      </c>
      <c r="B104" s="1">
        <v>141</v>
      </c>
      <c r="C104" s="1" t="s">
        <v>142</v>
      </c>
      <c r="D104" s="1" t="s">
        <v>46</v>
      </c>
      <c r="E104" s="1">
        <v>25</v>
      </c>
      <c r="F104" s="1">
        <v>4.09</v>
      </c>
      <c r="G104" s="1">
        <v>2085</v>
      </c>
      <c r="H104" s="2">
        <v>25.269256474519601</v>
      </c>
      <c r="I104" s="2">
        <v>53.830367585630697</v>
      </c>
      <c r="J104" s="2">
        <v>57.940726817042602</v>
      </c>
      <c r="K104" s="2">
        <v>53.706641604010002</v>
      </c>
      <c r="L104" s="2">
        <v>53.295948203842897</v>
      </c>
      <c r="M104" s="2">
        <v>51.676691729323302</v>
      </c>
      <c r="N104" s="2">
        <v>49.882706766917202</v>
      </c>
      <c r="O104" s="2">
        <v>43.631119465329903</v>
      </c>
      <c r="P104" s="2">
        <v>45.977318295739302</v>
      </c>
      <c r="Q104" s="2">
        <v>50.437176274018299</v>
      </c>
      <c r="R104" s="2">
        <v>43.262781954887203</v>
      </c>
      <c r="S104" s="2">
        <v>38.356015037593899</v>
      </c>
      <c r="T104" s="2">
        <v>43.3489557226399</v>
      </c>
      <c r="U104" s="2">
        <v>47.219423558897198</v>
      </c>
      <c r="V104" s="2">
        <v>50.6652046783625</v>
      </c>
      <c r="W104" s="2">
        <v>53.614828738512898</v>
      </c>
      <c r="X104" s="2">
        <v>50.968212197159502</v>
      </c>
      <c r="Y104" s="2">
        <v>55.509273182957301</v>
      </c>
      <c r="Z104" s="2">
        <v>-0.25513150593092998</v>
      </c>
      <c r="AA104" s="2">
        <f>MAX(120*16*Z104/SUM(Z:Z),0.75)</f>
        <v>0.75</v>
      </c>
      <c r="AB104" s="2">
        <f>AA104-F104</f>
        <v>-3.34</v>
      </c>
    </row>
    <row r="105" spans="1:28" hidden="1" x14ac:dyDescent="0.25">
      <c r="A105" s="1">
        <v>1</v>
      </c>
      <c r="B105" s="1">
        <v>215</v>
      </c>
      <c r="C105" s="1" t="s">
        <v>146</v>
      </c>
      <c r="D105" s="1" t="s">
        <v>41</v>
      </c>
      <c r="E105" s="1">
        <v>28</v>
      </c>
      <c r="F105" s="1">
        <v>0.98</v>
      </c>
      <c r="G105" s="1">
        <v>2085</v>
      </c>
      <c r="H105" s="2">
        <v>27.8438183421516</v>
      </c>
      <c r="I105" s="2">
        <v>53.741349206349199</v>
      </c>
      <c r="J105" s="2">
        <v>55.467804232804198</v>
      </c>
      <c r="K105" s="2">
        <v>41.743306878306797</v>
      </c>
      <c r="L105" s="2">
        <v>48.761931216931202</v>
      </c>
      <c r="M105" s="2">
        <v>60.051693121693098</v>
      </c>
      <c r="N105" s="2">
        <v>55.940793650793601</v>
      </c>
      <c r="O105" s="2">
        <v>47.1470282186948</v>
      </c>
      <c r="P105" s="2">
        <v>36.627081128747797</v>
      </c>
      <c r="Q105" s="2">
        <v>53.978280423280403</v>
      </c>
      <c r="R105" s="2">
        <v>43.402980599647201</v>
      </c>
      <c r="S105" s="2">
        <v>38.803500881834204</v>
      </c>
      <c r="T105" s="2">
        <v>41.5302204585537</v>
      </c>
      <c r="U105" s="2">
        <v>52.0733245149911</v>
      </c>
      <c r="V105" s="2">
        <v>49.755564373897698</v>
      </c>
      <c r="W105" s="2">
        <v>57.871252204585502</v>
      </c>
      <c r="X105" s="2">
        <v>52.870396825396803</v>
      </c>
      <c r="Y105" s="2">
        <v>50.313615520282099</v>
      </c>
      <c r="Z105" s="2">
        <v>-9.9757313145311097E-2</v>
      </c>
      <c r="AA105" s="2">
        <f>MAX(120*16*Z105/SUM(Z:Z),0.75)</f>
        <v>0.75</v>
      </c>
      <c r="AB105" s="2">
        <f>AA105-F105</f>
        <v>-0.22999999999999998</v>
      </c>
    </row>
    <row r="106" spans="1:28" hidden="1" x14ac:dyDescent="0.25">
      <c r="A106" s="1">
        <v>1</v>
      </c>
      <c r="B106" s="1">
        <v>27</v>
      </c>
      <c r="C106" s="1" t="s">
        <v>147</v>
      </c>
      <c r="D106" s="1" t="s">
        <v>46</v>
      </c>
      <c r="E106" s="1">
        <v>21</v>
      </c>
      <c r="F106" s="1">
        <v>6.22</v>
      </c>
      <c r="G106" s="1">
        <v>2085</v>
      </c>
      <c r="H106" s="2">
        <v>23.432764771460398</v>
      </c>
      <c r="I106" s="2">
        <v>53.657268673355603</v>
      </c>
      <c r="J106" s="2">
        <v>61.052809364548402</v>
      </c>
      <c r="K106" s="2">
        <v>56.835819397993298</v>
      </c>
      <c r="L106" s="2">
        <v>50.480758082497204</v>
      </c>
      <c r="M106" s="2">
        <v>62.710178372352203</v>
      </c>
      <c r="N106" s="2">
        <v>63.581850613154899</v>
      </c>
      <c r="O106" s="2">
        <v>42.723154960980999</v>
      </c>
      <c r="P106" s="2">
        <v>36.1764102564102</v>
      </c>
      <c r="Q106" s="2">
        <v>50.4323411371237</v>
      </c>
      <c r="R106" s="2">
        <v>33.648071348940903</v>
      </c>
      <c r="S106" s="2">
        <v>34.300958751393502</v>
      </c>
      <c r="T106" s="2">
        <v>34.302564102564098</v>
      </c>
      <c r="U106" s="2">
        <v>44.000802675585199</v>
      </c>
      <c r="V106" s="2">
        <v>47.2152173913043</v>
      </c>
      <c r="W106" s="2">
        <v>53.393166109253002</v>
      </c>
      <c r="X106" s="2">
        <v>48.413913043478203</v>
      </c>
      <c r="Y106" s="2">
        <v>48.138795986622</v>
      </c>
      <c r="Z106" s="2">
        <v>0.50300349556951696</v>
      </c>
      <c r="AA106" s="2">
        <f>MAX(120*16*Z106/SUM(Z:Z),0.75)</f>
        <v>7.1843651913665854</v>
      </c>
      <c r="AB106" s="2">
        <f>AA106-F106</f>
        <v>0.96436519136658561</v>
      </c>
    </row>
    <row r="107" spans="1:28" hidden="1" x14ac:dyDescent="0.25">
      <c r="A107" s="1">
        <v>1</v>
      </c>
      <c r="B107" s="1">
        <v>174</v>
      </c>
      <c r="C107" s="1" t="s">
        <v>143</v>
      </c>
      <c r="D107" s="1" t="s">
        <v>35</v>
      </c>
      <c r="E107" s="1">
        <v>30</v>
      </c>
      <c r="F107" s="1">
        <v>1.33</v>
      </c>
      <c r="G107" s="1">
        <v>2085</v>
      </c>
      <c r="H107" s="2">
        <v>29.2951778923101</v>
      </c>
      <c r="I107" s="2">
        <v>53.609495910605901</v>
      </c>
      <c r="J107" s="2">
        <v>54.237529917918401</v>
      </c>
      <c r="K107" s="2">
        <v>28.517598343685201</v>
      </c>
      <c r="L107" s="2">
        <v>45.649611617696699</v>
      </c>
      <c r="M107" s="2">
        <v>57.826292527495099</v>
      </c>
      <c r="N107" s="2">
        <v>54.3406604701701</v>
      </c>
      <c r="O107" s="2">
        <v>47.912125750701101</v>
      </c>
      <c r="P107" s="2">
        <v>41.483040394696197</v>
      </c>
      <c r="Q107" s="2">
        <v>36.856195762301198</v>
      </c>
      <c r="R107" s="2">
        <v>57.862693273424</v>
      </c>
      <c r="S107" s="2">
        <v>58.333795868023401</v>
      </c>
      <c r="T107" s="2">
        <v>60.601904468231901</v>
      </c>
      <c r="U107" s="2">
        <v>50.4172356577537</v>
      </c>
      <c r="V107" s="2">
        <v>48.3835146762991</v>
      </c>
      <c r="W107" s="2">
        <v>68.462255700923606</v>
      </c>
      <c r="X107" s="2">
        <v>69.804986564468507</v>
      </c>
      <c r="Y107" s="2">
        <v>48.486542443064103</v>
      </c>
      <c r="Z107" s="2">
        <v>1.0134742327869899</v>
      </c>
      <c r="AA107" s="2">
        <f>MAX(120*16*Z107/SUM(Z:Z),0.75)</f>
        <v>14.475384494371811</v>
      </c>
      <c r="AB107" s="2">
        <f>AA107-F107</f>
        <v>13.145384494371811</v>
      </c>
    </row>
    <row r="108" spans="1:28" hidden="1" x14ac:dyDescent="0.25">
      <c r="A108" s="1">
        <v>1</v>
      </c>
      <c r="B108" s="1">
        <v>194</v>
      </c>
      <c r="C108" s="1" t="s">
        <v>151</v>
      </c>
      <c r="D108" s="1" t="s">
        <v>55</v>
      </c>
      <c r="E108" s="1">
        <v>30</v>
      </c>
      <c r="F108" s="1">
        <v>1.47</v>
      </c>
      <c r="G108" s="1">
        <v>2085</v>
      </c>
      <c r="H108" s="2">
        <v>28.9372023809523</v>
      </c>
      <c r="I108" s="2">
        <v>53.498214285714198</v>
      </c>
      <c r="J108" s="2">
        <v>54.165476190476099</v>
      </c>
      <c r="K108" s="2">
        <v>49.342261904761898</v>
      </c>
      <c r="L108" s="2">
        <v>49.453571428571401</v>
      </c>
      <c r="M108" s="2">
        <v>57.681249999999999</v>
      </c>
      <c r="N108" s="2">
        <v>51.635714285714201</v>
      </c>
      <c r="O108" s="2">
        <v>45.9532738095238</v>
      </c>
      <c r="P108" s="2">
        <v>40.3955357142857</v>
      </c>
      <c r="Q108" s="2">
        <v>52.152976190476103</v>
      </c>
      <c r="R108" s="2">
        <v>48.426488095238</v>
      </c>
      <c r="S108" s="2">
        <v>48.984821428571401</v>
      </c>
      <c r="T108" s="2">
        <v>49.654464285714198</v>
      </c>
      <c r="U108" s="2">
        <v>43.391071428571401</v>
      </c>
      <c r="V108" s="2">
        <v>49.776785714285701</v>
      </c>
      <c r="W108" s="2">
        <v>55.4372023809523</v>
      </c>
      <c r="X108" s="2">
        <v>47.337797619047599</v>
      </c>
      <c r="Y108" s="2">
        <v>45.772321428571402</v>
      </c>
      <c r="Z108" s="2">
        <v>-0.33361294498780297</v>
      </c>
      <c r="AA108" s="2">
        <f>MAX(120*16*Z108/SUM(Z:Z),0.75)</f>
        <v>0.75</v>
      </c>
      <c r="AB108" s="2">
        <f>AA108-F108</f>
        <v>-0.72</v>
      </c>
    </row>
    <row r="109" spans="1:28" hidden="1" x14ac:dyDescent="0.25">
      <c r="A109" s="1">
        <v>1</v>
      </c>
      <c r="B109" s="1">
        <v>155</v>
      </c>
      <c r="C109" s="1" t="s">
        <v>158</v>
      </c>
      <c r="D109" s="1" t="s">
        <v>55</v>
      </c>
      <c r="E109" s="1">
        <v>23</v>
      </c>
      <c r="F109" s="1">
        <v>1.52</v>
      </c>
      <c r="G109" s="1">
        <v>2085</v>
      </c>
      <c r="H109" s="2">
        <v>24.081890945759302</v>
      </c>
      <c r="I109" s="2">
        <v>53.348802832637197</v>
      </c>
      <c r="J109" s="2">
        <v>59.473263548703102</v>
      </c>
      <c r="K109" s="2">
        <v>45.949976222806598</v>
      </c>
      <c r="L109" s="2">
        <v>45.020110349094999</v>
      </c>
      <c r="M109" s="2">
        <v>54.235090553865298</v>
      </c>
      <c r="N109" s="2">
        <v>54.058320012375503</v>
      </c>
      <c r="O109" s="2">
        <v>41.178025289766602</v>
      </c>
      <c r="P109" s="2">
        <v>37.299008233211197</v>
      </c>
      <c r="Q109" s="2">
        <v>45.597454980892302</v>
      </c>
      <c r="R109" s="2">
        <v>50.720632301460398</v>
      </c>
      <c r="S109" s="2">
        <v>50.617221563336102</v>
      </c>
      <c r="T109" s="2">
        <v>52.285962288798302</v>
      </c>
      <c r="U109" s="2">
        <v>52.108326601236399</v>
      </c>
      <c r="V109" s="2">
        <v>47.053873963686698</v>
      </c>
      <c r="W109" s="2">
        <v>59.873373554031502</v>
      </c>
      <c r="X109" s="2">
        <v>53.173980302170797</v>
      </c>
      <c r="Y109" s="2">
        <v>50.753994854959103</v>
      </c>
      <c r="Z109" s="2">
        <v>0.51607906005396098</v>
      </c>
      <c r="AA109" s="2">
        <f>MAX(120*16*Z109/SUM(Z:Z),0.75)</f>
        <v>7.3711226019351681</v>
      </c>
      <c r="AB109" s="2">
        <f>AA109-F109</f>
        <v>5.8511226019351685</v>
      </c>
    </row>
    <row r="110" spans="1:28" hidden="1" x14ac:dyDescent="0.25">
      <c r="B110" s="1">
        <v>169</v>
      </c>
      <c r="C110" s="1" t="s">
        <v>157</v>
      </c>
      <c r="D110" s="1" t="s">
        <v>55</v>
      </c>
      <c r="E110" s="1">
        <v>31</v>
      </c>
      <c r="F110" s="1">
        <v>1.71</v>
      </c>
      <c r="G110" s="1">
        <v>2086</v>
      </c>
      <c r="H110" s="2">
        <v>29.919920431940799</v>
      </c>
      <c r="I110" s="2">
        <v>53.307459505541303</v>
      </c>
      <c r="J110" s="2">
        <v>53.643662972435301</v>
      </c>
      <c r="K110" s="2">
        <v>44.471639670360901</v>
      </c>
      <c r="L110" s="2">
        <v>51.478473998294902</v>
      </c>
      <c r="M110" s="2">
        <v>52.742355782892801</v>
      </c>
      <c r="N110" s="2">
        <v>46.098053424268201</v>
      </c>
      <c r="O110" s="2">
        <v>47.059832338732598</v>
      </c>
      <c r="P110" s="2">
        <v>45.243662972435303</v>
      </c>
      <c r="Q110" s="2">
        <v>55.9306763285024</v>
      </c>
      <c r="R110" s="2">
        <v>53.121639670360899</v>
      </c>
      <c r="S110" s="2">
        <v>50.863142938334697</v>
      </c>
      <c r="T110" s="2">
        <v>54.313711281614097</v>
      </c>
      <c r="U110" s="2">
        <v>47.622961068485303</v>
      </c>
      <c r="V110" s="2">
        <v>50.5772662688263</v>
      </c>
      <c r="W110" s="2">
        <v>54.617249218527903</v>
      </c>
      <c r="X110" s="2">
        <v>49.261921000284097</v>
      </c>
      <c r="Y110" s="2">
        <v>48.451719238419997</v>
      </c>
      <c r="Z110" s="2">
        <v>-0.42581997691801399</v>
      </c>
      <c r="AA110" s="2">
        <f>MAX(120*16*Z110/SUM(Z:Z),0.75)</f>
        <v>0.75</v>
      </c>
      <c r="AB110" s="2">
        <f>AA110-F110</f>
        <v>-0.96</v>
      </c>
    </row>
    <row r="111" spans="1:28" hidden="1" x14ac:dyDescent="0.25">
      <c r="A111" s="1">
        <v>1</v>
      </c>
      <c r="B111" s="1">
        <v>142</v>
      </c>
      <c r="C111" s="1" t="s">
        <v>148</v>
      </c>
      <c r="D111" s="1" t="s">
        <v>46</v>
      </c>
      <c r="E111" s="1">
        <v>25</v>
      </c>
      <c r="F111" s="1">
        <v>1.78</v>
      </c>
      <c r="G111" s="1">
        <v>2087</v>
      </c>
      <c r="H111" s="2">
        <v>25.4051724137931</v>
      </c>
      <c r="I111" s="2">
        <v>53.201833607006002</v>
      </c>
      <c r="J111" s="2">
        <v>56.962370005473403</v>
      </c>
      <c r="K111" s="2">
        <v>49.4846743295019</v>
      </c>
      <c r="L111" s="2">
        <v>49.206212370005403</v>
      </c>
      <c r="M111" s="2">
        <v>57.9552545155993</v>
      </c>
      <c r="N111" s="2">
        <v>55.544608648056901</v>
      </c>
      <c r="O111" s="2">
        <v>45.043103448275801</v>
      </c>
      <c r="P111" s="2">
        <v>38.308565955117601</v>
      </c>
      <c r="Q111" s="2">
        <v>49.246031746031697</v>
      </c>
      <c r="R111" s="2">
        <v>47.4399288451012</v>
      </c>
      <c r="S111" s="2">
        <v>43.850985221674797</v>
      </c>
      <c r="T111" s="2">
        <v>46.718117131910198</v>
      </c>
      <c r="U111" s="2">
        <v>45.400793650793602</v>
      </c>
      <c r="V111" s="2">
        <v>49.4120142309797</v>
      </c>
      <c r="W111" s="2">
        <v>54.151751505199698</v>
      </c>
      <c r="X111" s="2">
        <v>46.059386973179997</v>
      </c>
      <c r="Y111" s="2">
        <v>49.158045977011398</v>
      </c>
      <c r="Z111" s="2">
        <v>-9.4654903383546499E-2</v>
      </c>
      <c r="AA111" s="2">
        <f>MAX(120*16*Z111/SUM(Z:Z),0.75)</f>
        <v>0.75</v>
      </c>
      <c r="AB111" s="2">
        <f>AA111-F111</f>
        <v>-1.03</v>
      </c>
    </row>
    <row r="112" spans="1:28" x14ac:dyDescent="0.25">
      <c r="A112" s="1">
        <v>1</v>
      </c>
      <c r="B112" s="1">
        <v>172</v>
      </c>
      <c r="C112" s="1" t="s">
        <v>154</v>
      </c>
      <c r="D112" s="1" t="s">
        <v>60</v>
      </c>
      <c r="E112" s="1">
        <v>28</v>
      </c>
      <c r="F112" s="1">
        <v>1.78</v>
      </c>
      <c r="G112" s="1">
        <v>2087</v>
      </c>
      <c r="H112" s="2">
        <v>27.8568670163354</v>
      </c>
      <c r="I112" s="2">
        <v>53.174347616208003</v>
      </c>
      <c r="J112" s="2">
        <v>54.374725680373501</v>
      </c>
      <c r="K112" s="2">
        <v>58.984467728653698</v>
      </c>
      <c r="L112" s="2">
        <v>55.990998665417202</v>
      </c>
      <c r="M112" s="2">
        <v>41.352224372157899</v>
      </c>
      <c r="N112" s="2">
        <v>38.080330522190899</v>
      </c>
      <c r="O112" s="2">
        <v>46.374571534039902</v>
      </c>
      <c r="P112" s="2">
        <v>56.177373752124502</v>
      </c>
      <c r="Q112" s="2">
        <v>53.107087080508997</v>
      </c>
      <c r="R112" s="2">
        <v>46.561624053318397</v>
      </c>
      <c r="S112" s="2">
        <v>46.211225098268201</v>
      </c>
      <c r="T112" s="2">
        <v>49.3570556427699</v>
      </c>
      <c r="U112" s="2">
        <v>45.397178310799497</v>
      </c>
      <c r="V112" s="2">
        <v>52.0701446947294</v>
      </c>
      <c r="W112" s="2">
        <v>48.493750988767601</v>
      </c>
      <c r="X112" s="2">
        <v>48.166457757819799</v>
      </c>
      <c r="Y112" s="2">
        <v>57.159496833915398</v>
      </c>
      <c r="Z112" s="2">
        <v>-0.50295185887414096</v>
      </c>
      <c r="AA112" s="2">
        <f>MAX(120*16*Z112/SUM(Z:Z),0.75)</f>
        <v>0.75</v>
      </c>
      <c r="AB112" s="2">
        <f>AA112-F112</f>
        <v>-1.03</v>
      </c>
    </row>
    <row r="113" spans="1:28" hidden="1" x14ac:dyDescent="0.25">
      <c r="A113" s="1">
        <v>1</v>
      </c>
      <c r="B113" s="1">
        <v>31</v>
      </c>
      <c r="C113" s="1" t="s">
        <v>150</v>
      </c>
      <c r="D113" s="1" t="s">
        <v>35</v>
      </c>
      <c r="E113" s="1">
        <v>23</v>
      </c>
      <c r="F113" s="1">
        <v>5.61</v>
      </c>
      <c r="G113" s="1">
        <v>2086</v>
      </c>
      <c r="H113" s="2">
        <v>24.322619047619</v>
      </c>
      <c r="I113" s="2">
        <v>53.136507936507897</v>
      </c>
      <c r="J113" s="2">
        <v>59.290972222222202</v>
      </c>
      <c r="K113" s="2">
        <v>31.136111111111099</v>
      </c>
      <c r="L113" s="2">
        <v>49.122718253968202</v>
      </c>
      <c r="M113" s="2">
        <v>69.535714285714207</v>
      </c>
      <c r="N113" s="2">
        <v>66.707539682539604</v>
      </c>
      <c r="O113" s="2">
        <v>47.4078373015873</v>
      </c>
      <c r="P113" s="2">
        <v>36.048115079364997</v>
      </c>
      <c r="Q113" s="2">
        <v>37.9839285714285</v>
      </c>
      <c r="R113" s="2">
        <v>45.6818452380952</v>
      </c>
      <c r="S113" s="2">
        <v>44.2272817460317</v>
      </c>
      <c r="T113" s="2">
        <v>48.410218253968203</v>
      </c>
      <c r="U113" s="2">
        <v>47.724206349206298</v>
      </c>
      <c r="V113" s="2">
        <v>43.427182539682498</v>
      </c>
      <c r="W113" s="2">
        <v>64.636507936507897</v>
      </c>
      <c r="X113" s="2">
        <v>63.025099206349203</v>
      </c>
      <c r="Y113" s="2">
        <v>46.608333333333299</v>
      </c>
      <c r="Z113" s="2">
        <v>7.1787668374625593E-2</v>
      </c>
      <c r="AA113" s="2">
        <f>MAX(120*16*Z113/SUM(Z:Z),0.75)</f>
        <v>1.0253384526802944</v>
      </c>
      <c r="AB113" s="2">
        <f>AA113-F113</f>
        <v>-4.5846615473197057</v>
      </c>
    </row>
    <row r="114" spans="1:28" hidden="1" x14ac:dyDescent="0.25">
      <c r="A114" s="1">
        <v>1</v>
      </c>
      <c r="B114" s="1">
        <v>199</v>
      </c>
      <c r="C114" s="1" t="s">
        <v>149</v>
      </c>
      <c r="D114" s="1" t="s">
        <v>60</v>
      </c>
      <c r="E114" s="1">
        <v>34</v>
      </c>
      <c r="F114" s="1">
        <v>0.83</v>
      </c>
      <c r="G114" s="1">
        <v>2085</v>
      </c>
      <c r="H114" s="2">
        <v>32.489393063077202</v>
      </c>
      <c r="I114" s="2">
        <v>52.939940760993302</v>
      </c>
      <c r="J114" s="2">
        <v>52.957484620642497</v>
      </c>
      <c r="K114" s="2">
        <v>57.084243826349002</v>
      </c>
      <c r="L114" s="2">
        <v>59.012442820337498</v>
      </c>
      <c r="M114" s="2">
        <v>28.3621913174544</v>
      </c>
      <c r="N114" s="2">
        <v>19.8724459750775</v>
      </c>
      <c r="O114" s="2">
        <v>40.7050204181783</v>
      </c>
      <c r="P114" s="2">
        <v>64.185992954414004</v>
      </c>
      <c r="Q114" s="2">
        <v>57.449580244316998</v>
      </c>
      <c r="R114" s="2">
        <v>42.618274707748299</v>
      </c>
      <c r="S114" s="2">
        <v>41.302919010813703</v>
      </c>
      <c r="T114" s="2">
        <v>41.3210894368789</v>
      </c>
      <c r="U114" s="2">
        <v>53.090681248575898</v>
      </c>
      <c r="V114" s="2">
        <v>58.718988905830997</v>
      </c>
      <c r="W114" s="2">
        <v>56.663166657903503</v>
      </c>
      <c r="X114" s="2">
        <v>57.114632735685298</v>
      </c>
      <c r="Y114" s="2">
        <v>72.481586834218405</v>
      </c>
      <c r="Z114" s="2">
        <v>0.28742024190839</v>
      </c>
      <c r="AA114" s="2">
        <f>MAX(120*16*Z114/SUM(Z:Z),0.75)</f>
        <v>4.1052040382399673</v>
      </c>
      <c r="AB114" s="2">
        <f>AA114-F114</f>
        <v>3.2752040382399672</v>
      </c>
    </row>
    <row r="115" spans="1:28" hidden="1" x14ac:dyDescent="0.25">
      <c r="A115" s="1">
        <v>1</v>
      </c>
      <c r="B115" s="1">
        <v>19</v>
      </c>
      <c r="C115" s="1" t="s">
        <v>153</v>
      </c>
      <c r="D115" s="1" t="s">
        <v>75</v>
      </c>
      <c r="E115" s="1">
        <v>19</v>
      </c>
      <c r="F115" s="1">
        <v>1.27</v>
      </c>
      <c r="G115" s="1">
        <v>2087</v>
      </c>
      <c r="H115" s="2">
        <v>22.2113123409267</v>
      </c>
      <c r="I115" s="2">
        <v>52.934730022506798</v>
      </c>
      <c r="J115" s="2">
        <v>64.160577186007799</v>
      </c>
      <c r="K115" s="2">
        <v>31.983777160766401</v>
      </c>
      <c r="L115" s="2">
        <v>48.295381880902802</v>
      </c>
      <c r="M115" s="2">
        <v>69.055651963568195</v>
      </c>
      <c r="N115" s="2">
        <v>70.325266611977</v>
      </c>
      <c r="O115" s="2">
        <v>44.7033139816158</v>
      </c>
      <c r="P115" s="2">
        <v>37.846684966660298</v>
      </c>
      <c r="Q115" s="2">
        <v>38.829941524158002</v>
      </c>
      <c r="R115" s="2">
        <v>52.842535916366899</v>
      </c>
      <c r="S115" s="2">
        <v>50.699869586251801</v>
      </c>
      <c r="T115" s="2">
        <v>54.1988546728087</v>
      </c>
      <c r="U115" s="2">
        <v>42.995871984182003</v>
      </c>
      <c r="V115" s="2">
        <v>43.171341578847702</v>
      </c>
      <c r="W115" s="2">
        <v>63.3837740055951</v>
      </c>
      <c r="X115" s="2">
        <v>62.830183420626398</v>
      </c>
      <c r="Y115" s="2">
        <v>44.689336572642503</v>
      </c>
      <c r="Z115" s="2">
        <v>-0.70474319300058796</v>
      </c>
      <c r="AA115" s="2">
        <f>MAX(120*16*Z115/SUM(Z:Z),0.75)</f>
        <v>0.75</v>
      </c>
      <c r="AB115" s="2">
        <f>AA115-F115</f>
        <v>-0.52</v>
      </c>
    </row>
    <row r="116" spans="1:28" hidden="1" x14ac:dyDescent="0.25">
      <c r="A116" s="1">
        <v>1</v>
      </c>
      <c r="B116" s="1">
        <v>148</v>
      </c>
      <c r="C116" s="1" t="s">
        <v>159</v>
      </c>
      <c r="D116" s="1" t="s">
        <v>55</v>
      </c>
      <c r="E116" s="1">
        <v>25</v>
      </c>
      <c r="F116" s="1">
        <v>9.92</v>
      </c>
      <c r="G116" s="1">
        <v>2086</v>
      </c>
      <c r="H116" s="2">
        <v>25.851322751322702</v>
      </c>
      <c r="I116" s="2">
        <v>52.910582010581997</v>
      </c>
      <c r="J116" s="2">
        <v>56.352804232804203</v>
      </c>
      <c r="K116" s="2">
        <v>50.260740740740701</v>
      </c>
      <c r="L116" s="2">
        <v>46.767619047619</v>
      </c>
      <c r="M116" s="2">
        <v>51.621058201058197</v>
      </c>
      <c r="N116" s="2">
        <v>49.017248677248602</v>
      </c>
      <c r="O116" s="2">
        <v>44.353544973544899</v>
      </c>
      <c r="P116" s="2">
        <v>35.392910052909997</v>
      </c>
      <c r="Q116" s="2">
        <v>47.407936507936498</v>
      </c>
      <c r="R116" s="2">
        <v>50.493121693121601</v>
      </c>
      <c r="S116" s="2">
        <v>53.104761904761901</v>
      </c>
      <c r="T116" s="2">
        <v>52.414920634920598</v>
      </c>
      <c r="U116" s="2">
        <v>48.134074074074</v>
      </c>
      <c r="V116" s="2">
        <v>49.9914285714285</v>
      </c>
      <c r="W116" s="2">
        <v>54.805079365079301</v>
      </c>
      <c r="X116" s="2">
        <v>47.134814814814803</v>
      </c>
      <c r="Y116" s="2">
        <v>50.131640211640203</v>
      </c>
      <c r="Z116" s="2">
        <v>5.3642349216519399E-2</v>
      </c>
      <c r="AA116" s="2">
        <f>MAX(120*16*Z116/SUM(Z:Z),0.75)</f>
        <v>0.76617007613027754</v>
      </c>
      <c r="AB116" s="2">
        <f>AA116-F116</f>
        <v>-9.1538299238697221</v>
      </c>
    </row>
    <row r="117" spans="1:28" hidden="1" x14ac:dyDescent="0.25">
      <c r="A117" s="1">
        <v>1</v>
      </c>
      <c r="B117" s="1">
        <v>131</v>
      </c>
      <c r="C117" s="1" t="s">
        <v>156</v>
      </c>
      <c r="D117" s="1" t="s">
        <v>55</v>
      </c>
      <c r="E117" s="1">
        <v>25</v>
      </c>
      <c r="F117" s="1">
        <v>7.75</v>
      </c>
      <c r="G117" s="1">
        <v>2086</v>
      </c>
      <c r="H117" s="2">
        <v>24.774955258986498</v>
      </c>
      <c r="I117" s="2">
        <v>52.867893848749802</v>
      </c>
      <c r="J117" s="2">
        <v>57.804138330691401</v>
      </c>
      <c r="K117" s="2">
        <v>53.010737843227403</v>
      </c>
      <c r="L117" s="2">
        <v>44.901068671064003</v>
      </c>
      <c r="M117" s="2">
        <v>58.5013209251589</v>
      </c>
      <c r="N117" s="2">
        <v>55.743358729184699</v>
      </c>
      <c r="O117" s="2">
        <v>41.741275928482501</v>
      </c>
      <c r="P117" s="2">
        <v>33.543733701487902</v>
      </c>
      <c r="Q117" s="2">
        <v>48.638550561606202</v>
      </c>
      <c r="R117" s="2">
        <v>51.094295307732899</v>
      </c>
      <c r="S117" s="2">
        <v>51.695764517393599</v>
      </c>
      <c r="T117" s="2">
        <v>53.106342145182403</v>
      </c>
      <c r="U117" s="2">
        <v>44.251023503945703</v>
      </c>
      <c r="V117" s="2">
        <v>44.6511803105452</v>
      </c>
      <c r="W117" s="2">
        <v>54.354335191150597</v>
      </c>
      <c r="X117" s="2">
        <v>46.790485930016501</v>
      </c>
      <c r="Y117" s="2">
        <v>47.228450171294099</v>
      </c>
      <c r="Z117" s="2">
        <v>0.15683652157615099</v>
      </c>
      <c r="AA117" s="2">
        <f>MAX(120*16*Z117/SUM(Z:Z),0.75)</f>
        <v>2.2400855188311306</v>
      </c>
      <c r="AB117" s="2">
        <f>AA117-F117</f>
        <v>-5.5099144811688694</v>
      </c>
    </row>
    <row r="118" spans="1:28" hidden="1" x14ac:dyDescent="0.25">
      <c r="A118" s="1">
        <v>1</v>
      </c>
      <c r="B118" s="1">
        <v>43</v>
      </c>
      <c r="C118" s="1" t="s">
        <v>161</v>
      </c>
      <c r="D118" s="1" t="s">
        <v>60</v>
      </c>
      <c r="E118" s="1">
        <v>24</v>
      </c>
      <c r="F118" s="1">
        <v>8.41</v>
      </c>
      <c r="G118" s="1">
        <v>2086</v>
      </c>
      <c r="H118" s="2">
        <v>24.763272283272201</v>
      </c>
      <c r="I118" s="2">
        <v>52.813064713064698</v>
      </c>
      <c r="J118" s="2">
        <v>58.323369963369899</v>
      </c>
      <c r="K118" s="2">
        <v>66.774358974358904</v>
      </c>
      <c r="L118" s="2">
        <v>56.910207570207497</v>
      </c>
      <c r="M118" s="2">
        <v>46.411575091575003</v>
      </c>
      <c r="N118" s="2">
        <v>46.649450549450499</v>
      </c>
      <c r="O118" s="2">
        <v>43.211282051281998</v>
      </c>
      <c r="P118" s="2">
        <v>53.056117216117201</v>
      </c>
      <c r="Q118" s="2">
        <v>53.795042735042699</v>
      </c>
      <c r="R118" s="2">
        <v>34.078852258852201</v>
      </c>
      <c r="S118" s="2">
        <v>34.477191697191699</v>
      </c>
      <c r="T118" s="2">
        <v>33.413357753357701</v>
      </c>
      <c r="U118" s="2">
        <v>43.8519902319902</v>
      </c>
      <c r="V118" s="2">
        <v>49.185763125763103</v>
      </c>
      <c r="W118" s="2">
        <v>46.699951159951098</v>
      </c>
      <c r="X118" s="2">
        <v>47.1240293040293</v>
      </c>
      <c r="Y118" s="2">
        <v>61.862124542124498</v>
      </c>
      <c r="Z118" s="2">
        <v>-7.2468511323652797E-3</v>
      </c>
      <c r="AA118" s="2">
        <f>MAX(120*16*Z118/SUM(Z:Z),0.75)</f>
        <v>0.75</v>
      </c>
      <c r="AB118" s="2">
        <f>AA118-F118</f>
        <v>-7.66</v>
      </c>
    </row>
    <row r="119" spans="1:28" hidden="1" x14ac:dyDescent="0.25">
      <c r="A119" s="1">
        <v>1</v>
      </c>
      <c r="B119" s="1">
        <v>207</v>
      </c>
      <c r="C119" s="1" t="s">
        <v>160</v>
      </c>
      <c r="D119" s="1" t="s">
        <v>46</v>
      </c>
      <c r="E119" s="1">
        <v>34</v>
      </c>
      <c r="F119" s="1">
        <v>1.66</v>
      </c>
      <c r="G119" s="1">
        <v>2085</v>
      </c>
      <c r="H119" s="2">
        <v>31.734604209385399</v>
      </c>
      <c r="I119" s="2">
        <v>52.808321555876802</v>
      </c>
      <c r="J119" s="2">
        <v>52.819815808750398</v>
      </c>
      <c r="K119" s="2">
        <v>57.503218717577901</v>
      </c>
      <c r="L119" s="2">
        <v>57.165510705912098</v>
      </c>
      <c r="M119" s="2">
        <v>31.864291024352699</v>
      </c>
      <c r="N119" s="2">
        <v>23.955511168840999</v>
      </c>
      <c r="O119" s="2">
        <v>40.512840831420299</v>
      </c>
      <c r="P119" s="2">
        <v>59.654841555767902</v>
      </c>
      <c r="Q119" s="2">
        <v>55.595762294166803</v>
      </c>
      <c r="R119" s="2">
        <v>44.410238081622502</v>
      </c>
      <c r="S119" s="2">
        <v>43.409135221538698</v>
      </c>
      <c r="T119" s="2">
        <v>46.377010677319397</v>
      </c>
      <c r="U119" s="2">
        <v>51.498733753237097</v>
      </c>
      <c r="V119" s="2">
        <v>57.3731057356893</v>
      </c>
      <c r="W119" s="2">
        <v>53.333823493370502</v>
      </c>
      <c r="X119" s="2">
        <v>53.047828727190499</v>
      </c>
      <c r="Y119" s="2">
        <v>66.125574916877</v>
      </c>
      <c r="Z119" s="2">
        <v>-1.7428092091626299E-2</v>
      </c>
      <c r="AA119" s="2">
        <f>MAX(120*16*Z119/SUM(Z:Z),0.75)</f>
        <v>0.75</v>
      </c>
      <c r="AB119" s="2">
        <f>AA119-F119</f>
        <v>-0.90999999999999992</v>
      </c>
    </row>
    <row r="120" spans="1:28" hidden="1" x14ac:dyDescent="0.25">
      <c r="B120" s="1">
        <v>46</v>
      </c>
      <c r="C120" s="1" t="s">
        <v>155</v>
      </c>
      <c r="D120" s="1" t="s">
        <v>53</v>
      </c>
      <c r="E120" s="1">
        <v>27</v>
      </c>
      <c r="F120" s="1">
        <v>1.94</v>
      </c>
      <c r="G120" s="1">
        <v>2086</v>
      </c>
      <c r="H120" s="2">
        <v>26.8725629683282</v>
      </c>
      <c r="I120" s="2">
        <v>52.749144182597298</v>
      </c>
      <c r="J120" s="2">
        <v>55.027420648265498</v>
      </c>
      <c r="K120" s="2">
        <v>46.295849824525099</v>
      </c>
      <c r="L120" s="2">
        <v>48.386657009079798</v>
      </c>
      <c r="M120" s="2">
        <v>52.961214441541401</v>
      </c>
      <c r="N120" s="2">
        <v>49.523751627562</v>
      </c>
      <c r="O120" s="2">
        <v>45.709177294323503</v>
      </c>
      <c r="P120" s="2">
        <v>38.839433996430103</v>
      </c>
      <c r="Q120" s="2">
        <v>48.165731087944401</v>
      </c>
      <c r="R120" s="2">
        <v>45.240292831828597</v>
      </c>
      <c r="S120" s="2">
        <v>43.453596157660101</v>
      </c>
      <c r="T120" s="2">
        <v>48.113011011373501</v>
      </c>
      <c r="U120" s="2">
        <v>51.568176526890298</v>
      </c>
      <c r="V120" s="2">
        <v>50.276232851316202</v>
      </c>
      <c r="W120" s="2">
        <v>54.5913029981633</v>
      </c>
      <c r="X120" s="2">
        <v>47.500081917030897</v>
      </c>
      <c r="Y120" s="2">
        <v>51.501004561485097</v>
      </c>
      <c r="Z120" s="2">
        <v>-0.222856291827256</v>
      </c>
      <c r="AA120" s="2">
        <f>MAX(120*16*Z120/SUM(Z:Z),0.75)</f>
        <v>0.75</v>
      </c>
      <c r="AB120" s="2">
        <f>AA120-F120</f>
        <v>-1.19</v>
      </c>
    </row>
    <row r="121" spans="1:28" hidden="1" x14ac:dyDescent="0.25">
      <c r="A121" s="1">
        <v>1</v>
      </c>
      <c r="B121" s="1">
        <v>149</v>
      </c>
      <c r="C121" s="1" t="s">
        <v>162</v>
      </c>
      <c r="D121" s="1" t="s">
        <v>60</v>
      </c>
      <c r="E121" s="1">
        <v>27</v>
      </c>
      <c r="F121" s="1">
        <v>6.63</v>
      </c>
      <c r="G121" s="1">
        <v>2086</v>
      </c>
      <c r="H121" s="2">
        <v>26.333794421952302</v>
      </c>
      <c r="I121" s="2">
        <v>52.655527440395801</v>
      </c>
      <c r="J121" s="2">
        <v>55.722666441745297</v>
      </c>
      <c r="K121" s="2">
        <v>64.536690283400802</v>
      </c>
      <c r="L121" s="2">
        <v>55.0873031938821</v>
      </c>
      <c r="M121" s="2">
        <v>41.566014394961698</v>
      </c>
      <c r="N121" s="2">
        <v>39.795777103013897</v>
      </c>
      <c r="O121" s="2">
        <v>44.340199055330601</v>
      </c>
      <c r="P121" s="2">
        <v>51.273903508771902</v>
      </c>
      <c r="Q121" s="2">
        <v>51.747683310841197</v>
      </c>
      <c r="R121" s="2">
        <v>34.785768106162799</v>
      </c>
      <c r="S121" s="2">
        <v>35.592060278902302</v>
      </c>
      <c r="T121" s="2">
        <v>33.727564102564102</v>
      </c>
      <c r="U121" s="2">
        <v>48.031061628430002</v>
      </c>
      <c r="V121" s="2">
        <v>51.717369545658997</v>
      </c>
      <c r="W121" s="2">
        <v>48.607967836257302</v>
      </c>
      <c r="X121" s="2">
        <v>48.991093117408901</v>
      </c>
      <c r="Y121" s="2">
        <v>65.719753711200994</v>
      </c>
      <c r="Z121" s="2">
        <v>9.4078642083078007E-2</v>
      </c>
      <c r="AA121" s="2">
        <f>MAX(120*16*Z121/SUM(Z:Z),0.75)</f>
        <v>1.343718935128732</v>
      </c>
      <c r="AB121" s="2">
        <f>AA121-F121</f>
        <v>-5.2862810648712681</v>
      </c>
    </row>
    <row r="122" spans="1:28" hidden="1" x14ac:dyDescent="0.25">
      <c r="A122" s="1">
        <v>1</v>
      </c>
      <c r="B122" s="1">
        <v>137</v>
      </c>
      <c r="C122" s="1" t="s">
        <v>168</v>
      </c>
      <c r="D122" s="1" t="s">
        <v>53</v>
      </c>
      <c r="E122" s="1">
        <v>23</v>
      </c>
      <c r="F122" s="1">
        <v>4.43</v>
      </c>
      <c r="G122" s="1">
        <v>2087</v>
      </c>
      <c r="H122" s="2">
        <v>23.938562091503201</v>
      </c>
      <c r="I122" s="2">
        <v>52.465572895824998</v>
      </c>
      <c r="J122" s="2">
        <v>59.333340002667697</v>
      </c>
      <c r="K122" s="2">
        <v>47.860877684407001</v>
      </c>
      <c r="L122" s="2">
        <v>47.555595571561902</v>
      </c>
      <c r="M122" s="2">
        <v>59.971368547418898</v>
      </c>
      <c r="N122" s="2">
        <v>58.269601173802798</v>
      </c>
      <c r="O122" s="2">
        <v>41.7854208350006</v>
      </c>
      <c r="P122" s="2">
        <v>34.9572428971588</v>
      </c>
      <c r="Q122" s="2">
        <v>52.911551287181503</v>
      </c>
      <c r="R122" s="2">
        <v>47.399839935974299</v>
      </c>
      <c r="S122" s="2">
        <v>43.793510737628303</v>
      </c>
      <c r="T122" s="2">
        <v>50.319981325863601</v>
      </c>
      <c r="U122" s="2">
        <v>48.159517140189401</v>
      </c>
      <c r="V122" s="2">
        <v>44.986754701880699</v>
      </c>
      <c r="W122" s="2">
        <v>53.410337468320598</v>
      </c>
      <c r="X122" s="2">
        <v>44.460344137654999</v>
      </c>
      <c r="Y122" s="2">
        <v>44.4827197545685</v>
      </c>
      <c r="Z122" s="2">
        <v>-0.112961318312453</v>
      </c>
      <c r="AA122" s="2">
        <f>MAX(120*16*Z122/SUM(Z:Z),0.75)</f>
        <v>0.75</v>
      </c>
      <c r="AB122" s="2">
        <f>AA122-F122</f>
        <v>-3.6799999999999997</v>
      </c>
    </row>
    <row r="123" spans="1:28" hidden="1" x14ac:dyDescent="0.25">
      <c r="B123" s="1">
        <v>203</v>
      </c>
      <c r="C123" s="1" t="s">
        <v>166</v>
      </c>
      <c r="D123" s="1" t="s">
        <v>55</v>
      </c>
      <c r="E123" s="1">
        <v>27</v>
      </c>
      <c r="F123" s="1">
        <v>1.84</v>
      </c>
      <c r="G123" s="1">
        <v>2086</v>
      </c>
      <c r="H123" s="2">
        <v>26.929817560773099</v>
      </c>
      <c r="I123" s="2">
        <v>52.1499577021915</v>
      </c>
      <c r="J123" s="2">
        <v>54.422185333567398</v>
      </c>
      <c r="K123" s="2">
        <v>52.687022819534597</v>
      </c>
      <c r="L123" s="2">
        <v>46.873808877751301</v>
      </c>
      <c r="M123" s="2">
        <v>53.276888371028903</v>
      </c>
      <c r="N123" s="2">
        <v>50.3687517624086</v>
      </c>
      <c r="O123" s="2">
        <v>43.6758870568706</v>
      </c>
      <c r="P123" s="2">
        <v>41.871372098343699</v>
      </c>
      <c r="Q123" s="2">
        <v>50.855251046804199</v>
      </c>
      <c r="R123" s="2">
        <v>52.548982990428399</v>
      </c>
      <c r="S123" s="2">
        <v>49.674227067405099</v>
      </c>
      <c r="T123" s="2">
        <v>54.8717658137938</v>
      </c>
      <c r="U123" s="2">
        <v>46.075055998041996</v>
      </c>
      <c r="V123" s="2">
        <v>44.775342771863102</v>
      </c>
      <c r="W123" s="2">
        <v>50.967795140274397</v>
      </c>
      <c r="X123" s="2">
        <v>44.965948934041997</v>
      </c>
      <c r="Y123" s="2">
        <v>45.457497353061598</v>
      </c>
      <c r="Z123" s="2">
        <v>-7.5528142906793605E-2</v>
      </c>
      <c r="AA123" s="2">
        <f>MAX(120*16*Z123/SUM(Z:Z),0.75)</f>
        <v>0.75</v>
      </c>
      <c r="AB123" s="2">
        <f>AA123-F123</f>
        <v>-1.0900000000000001</v>
      </c>
    </row>
    <row r="124" spans="1:28" hidden="1" x14ac:dyDescent="0.25">
      <c r="B124" s="1">
        <v>202</v>
      </c>
      <c r="C124" s="1" t="s">
        <v>164</v>
      </c>
      <c r="D124" s="1" t="s">
        <v>75</v>
      </c>
      <c r="E124" s="1">
        <v>31</v>
      </c>
      <c r="F124" s="1">
        <v>1.1200000000000001</v>
      </c>
      <c r="G124" s="1">
        <v>2086</v>
      </c>
      <c r="H124" s="2">
        <v>30.410031101183499</v>
      </c>
      <c r="I124" s="2">
        <v>52.097353297035603</v>
      </c>
      <c r="J124" s="2">
        <v>52.636932073774098</v>
      </c>
      <c r="K124" s="2">
        <v>24.532286673802101</v>
      </c>
      <c r="L124" s="2">
        <v>45.505635053593302</v>
      </c>
      <c r="M124" s="2">
        <v>57.266136550483097</v>
      </c>
      <c r="N124" s="2">
        <v>51.700046147641402</v>
      </c>
      <c r="O124" s="2">
        <v>45.681836443451601</v>
      </c>
      <c r="P124" s="2">
        <v>39.402244559231796</v>
      </c>
      <c r="Q124" s="2">
        <v>36.564099849535403</v>
      </c>
      <c r="R124" s="2">
        <v>49.050359098453399</v>
      </c>
      <c r="S124" s="2">
        <v>47.642374780895601</v>
      </c>
      <c r="T124" s="2">
        <v>48.666352164673299</v>
      </c>
      <c r="U124" s="2">
        <v>53.636540400514903</v>
      </c>
      <c r="V124" s="2">
        <v>48.875592939023001</v>
      </c>
      <c r="W124" s="2">
        <v>74.107405726961005</v>
      </c>
      <c r="X124" s="2">
        <v>76.165248887027403</v>
      </c>
      <c r="Y124" s="2">
        <v>51.114980144880299</v>
      </c>
      <c r="Z124" s="2">
        <v>1.2328272666215401</v>
      </c>
      <c r="AA124" s="2">
        <f>MAX(120*16*Z124/SUM(Z:Z),0.75)</f>
        <v>17.608389164880709</v>
      </c>
      <c r="AB124" s="2">
        <f>AA124-F124</f>
        <v>16.488389164880708</v>
      </c>
    </row>
    <row r="125" spans="1:28" hidden="1" x14ac:dyDescent="0.25">
      <c r="A125" s="1">
        <v>1</v>
      </c>
      <c r="B125" s="1">
        <v>58</v>
      </c>
      <c r="C125" s="1" t="s">
        <v>170</v>
      </c>
      <c r="D125" s="1" t="s">
        <v>60</v>
      </c>
      <c r="E125" s="1">
        <v>26</v>
      </c>
      <c r="F125" s="1">
        <v>2.75</v>
      </c>
      <c r="G125" s="1">
        <v>2085</v>
      </c>
      <c r="H125" s="2">
        <v>25.4663294312905</v>
      </c>
      <c r="I125" s="2">
        <v>52.090029486025003</v>
      </c>
      <c r="J125" s="2">
        <v>56.367895545314902</v>
      </c>
      <c r="K125" s="2">
        <v>64.448311174673805</v>
      </c>
      <c r="L125" s="2">
        <v>56.463981143068999</v>
      </c>
      <c r="M125" s="2">
        <v>48.589049561240799</v>
      </c>
      <c r="N125" s="2">
        <v>48.1408266680791</v>
      </c>
      <c r="O125" s="2">
        <v>45.3346663841658</v>
      </c>
      <c r="P125" s="2">
        <v>51.296475802037499</v>
      </c>
      <c r="Q125" s="2">
        <v>53.189496265692</v>
      </c>
      <c r="R125" s="2">
        <v>33.596553489768098</v>
      </c>
      <c r="S125" s="2">
        <v>32.6795381111287</v>
      </c>
      <c r="T125" s="2">
        <v>32.566696682380702</v>
      </c>
      <c r="U125" s="2">
        <v>44.507618694492997</v>
      </c>
      <c r="V125" s="2">
        <v>47.906889489203103</v>
      </c>
      <c r="W125" s="2">
        <v>45.790331408796298</v>
      </c>
      <c r="X125" s="2">
        <v>44.596421067500003</v>
      </c>
      <c r="Y125" s="2">
        <v>55.483447216483903</v>
      </c>
      <c r="Z125" s="2">
        <v>-3.7766482490313502E-2</v>
      </c>
      <c r="AA125" s="2">
        <f>MAX(120*16*Z125/SUM(Z:Z),0.75)</f>
        <v>0.75</v>
      </c>
      <c r="AB125" s="2">
        <f>AA125-F125</f>
        <v>-2</v>
      </c>
    </row>
    <row r="126" spans="1:28" hidden="1" x14ac:dyDescent="0.25">
      <c r="B126" s="1">
        <v>173</v>
      </c>
      <c r="C126" s="1" t="s">
        <v>173</v>
      </c>
      <c r="D126" s="1" t="s">
        <v>55</v>
      </c>
      <c r="E126" s="1">
        <v>30</v>
      </c>
      <c r="F126" s="1">
        <v>3.18</v>
      </c>
      <c r="G126" s="1">
        <v>2086</v>
      </c>
      <c r="H126" s="2">
        <v>29.591329966329901</v>
      </c>
      <c r="I126" s="2">
        <v>52.082649410774401</v>
      </c>
      <c r="J126" s="2">
        <v>52.624526515151501</v>
      </c>
      <c r="K126" s="2">
        <v>46.830281986531901</v>
      </c>
      <c r="L126" s="2">
        <v>49.982744107744097</v>
      </c>
      <c r="M126" s="2">
        <v>52.557765151515099</v>
      </c>
      <c r="N126" s="2">
        <v>45.3476430976431</v>
      </c>
      <c r="O126" s="2">
        <v>42.031513047137999</v>
      </c>
      <c r="P126" s="2">
        <v>38.924242424242401</v>
      </c>
      <c r="Q126" s="2">
        <v>52.404566498316399</v>
      </c>
      <c r="R126" s="2">
        <v>57.312920875420801</v>
      </c>
      <c r="S126" s="2">
        <v>59.153356481481403</v>
      </c>
      <c r="T126" s="2">
        <v>58.931292087541998</v>
      </c>
      <c r="U126" s="2">
        <v>47.5410353535353</v>
      </c>
      <c r="V126" s="2">
        <v>46.653198653198601</v>
      </c>
      <c r="W126" s="2">
        <v>52.7430555555555</v>
      </c>
      <c r="X126" s="2">
        <v>45.301399410774401</v>
      </c>
      <c r="Y126" s="2">
        <v>44.774726430976401</v>
      </c>
      <c r="Z126" s="2">
        <v>2.81110168074615E-2</v>
      </c>
      <c r="AA126" s="2">
        <f>MAX(120*16*Z126/SUM(Z:Z),0.75)</f>
        <v>0.75</v>
      </c>
      <c r="AB126" s="2">
        <f>AA126-F126</f>
        <v>-2.4300000000000002</v>
      </c>
    </row>
    <row r="127" spans="1:28" hidden="1" x14ac:dyDescent="0.25">
      <c r="A127" s="1">
        <v>1</v>
      </c>
      <c r="B127" s="1">
        <v>217</v>
      </c>
      <c r="C127" s="1" t="s">
        <v>163</v>
      </c>
      <c r="D127" s="1" t="s">
        <v>55</v>
      </c>
      <c r="E127" s="1">
        <v>36</v>
      </c>
      <c r="F127" s="1">
        <v>0.8</v>
      </c>
      <c r="G127" s="1">
        <v>2086</v>
      </c>
      <c r="H127" s="2">
        <v>32.933461538461501</v>
      </c>
      <c r="I127" s="2">
        <v>52.038269230769203</v>
      </c>
      <c r="J127" s="2">
        <v>52.048525641025599</v>
      </c>
      <c r="K127" s="2">
        <v>51.114551282051202</v>
      </c>
      <c r="L127" s="2">
        <v>48.5692307692307</v>
      </c>
      <c r="M127" s="2">
        <v>38.943974358974302</v>
      </c>
      <c r="N127" s="2">
        <v>31.615897435897399</v>
      </c>
      <c r="O127" s="2">
        <v>39.263846153846103</v>
      </c>
      <c r="P127" s="2">
        <v>44.918141025640999</v>
      </c>
      <c r="Q127" s="2">
        <v>55.374871794871702</v>
      </c>
      <c r="R127" s="2">
        <v>51.510512820512801</v>
      </c>
      <c r="S127" s="2">
        <v>50.4033333333333</v>
      </c>
      <c r="T127" s="2">
        <v>51.069743589743503</v>
      </c>
      <c r="U127" s="2">
        <v>51.116282051281999</v>
      </c>
      <c r="V127" s="2">
        <v>53.153525641025603</v>
      </c>
      <c r="W127" s="2">
        <v>60.110256410256397</v>
      </c>
      <c r="X127" s="2">
        <v>54.519871794871698</v>
      </c>
      <c r="Y127" s="2">
        <v>53.825128205128202</v>
      </c>
      <c r="Z127" s="2">
        <v>0.36839764940883202</v>
      </c>
      <c r="AA127" s="2">
        <f>MAX(120*16*Z127/SUM(Z:Z),0.75)</f>
        <v>5.261798918509303</v>
      </c>
      <c r="AB127" s="2">
        <f>AA127-F127</f>
        <v>4.4617989185093032</v>
      </c>
    </row>
    <row r="128" spans="1:28" hidden="1" x14ac:dyDescent="0.25">
      <c r="A128" s="1">
        <v>1</v>
      </c>
      <c r="B128" s="1">
        <v>206</v>
      </c>
      <c r="C128" s="1" t="s">
        <v>169</v>
      </c>
      <c r="D128" s="1" t="s">
        <v>55</v>
      </c>
      <c r="E128" s="1">
        <v>37</v>
      </c>
      <c r="F128" s="1">
        <v>1.33</v>
      </c>
      <c r="G128" s="1">
        <v>2086</v>
      </c>
      <c r="H128" s="2">
        <v>33.185326989902897</v>
      </c>
      <c r="I128" s="2">
        <v>51.923564803774603</v>
      </c>
      <c r="J128" s="2">
        <v>51.928131013820298</v>
      </c>
      <c r="K128" s="2">
        <v>50.556479494252699</v>
      </c>
      <c r="L128" s="2">
        <v>48.6364102503711</v>
      </c>
      <c r="M128" s="2">
        <v>40.565906809276001</v>
      </c>
      <c r="N128" s="2">
        <v>31.822245087619599</v>
      </c>
      <c r="O128" s="2">
        <v>37.548396134668302</v>
      </c>
      <c r="P128" s="2">
        <v>42.7924680595913</v>
      </c>
      <c r="Q128" s="2">
        <v>53.399826988430803</v>
      </c>
      <c r="R128" s="2">
        <v>58.730300184395198</v>
      </c>
      <c r="S128" s="2">
        <v>58.942339944671602</v>
      </c>
      <c r="T128" s="2">
        <v>60.956609228395799</v>
      </c>
      <c r="U128" s="2">
        <v>51.989446588688701</v>
      </c>
      <c r="V128" s="2">
        <v>50.573683007084298</v>
      </c>
      <c r="W128" s="2">
        <v>56.833381419362098</v>
      </c>
      <c r="X128" s="2">
        <v>48.158451315839798</v>
      </c>
      <c r="Y128" s="2">
        <v>49.834943724626001</v>
      </c>
      <c r="Z128" s="2">
        <v>0.47189802117276303</v>
      </c>
      <c r="AA128" s="2">
        <f>MAX(120*16*Z128/SUM(Z:Z),0.75)</f>
        <v>6.740087786765331</v>
      </c>
      <c r="AB128" s="2">
        <f>AA128-F128</f>
        <v>5.410087786765331</v>
      </c>
    </row>
    <row r="129" spans="1:28" hidden="1" x14ac:dyDescent="0.25">
      <c r="B129" s="1">
        <v>160</v>
      </c>
      <c r="C129" s="1" t="s">
        <v>165</v>
      </c>
      <c r="D129" s="1" t="s">
        <v>75</v>
      </c>
      <c r="E129" s="1">
        <v>27</v>
      </c>
      <c r="F129" s="1">
        <v>1.57</v>
      </c>
      <c r="G129" s="1">
        <v>2085</v>
      </c>
      <c r="H129" s="2">
        <v>26.1862524809946</v>
      </c>
      <c r="I129" s="2">
        <v>51.888005093060698</v>
      </c>
      <c r="J129" s="2">
        <v>55.051713290641501</v>
      </c>
      <c r="K129" s="2">
        <v>36.3153877841441</v>
      </c>
      <c r="L129" s="2">
        <v>49.1801183387634</v>
      </c>
      <c r="M129" s="2">
        <v>61.752604576264801</v>
      </c>
      <c r="N129" s="2">
        <v>59.159813504100597</v>
      </c>
      <c r="O129" s="2">
        <v>47.563329962925501</v>
      </c>
      <c r="P129" s="2">
        <v>38.366528105456297</v>
      </c>
      <c r="Q129" s="2">
        <v>49.391334307006701</v>
      </c>
      <c r="R129" s="2">
        <v>52.644699097479602</v>
      </c>
      <c r="S129" s="2">
        <v>47.128457476687998</v>
      </c>
      <c r="T129" s="2">
        <v>52.536699996255102</v>
      </c>
      <c r="U129" s="2">
        <v>46.740796914204303</v>
      </c>
      <c r="V129" s="2">
        <v>48.775287420889001</v>
      </c>
      <c r="W129" s="2">
        <v>52.6870913380519</v>
      </c>
      <c r="X129" s="2">
        <v>46.217851926749802</v>
      </c>
      <c r="Y129" s="2">
        <v>42.9883533685353</v>
      </c>
      <c r="Z129" s="2">
        <v>-0.93403990453407804</v>
      </c>
      <c r="AA129" s="2">
        <f>MAX(120*16*Z129/SUM(Z:Z),0.75)</f>
        <v>0.75</v>
      </c>
      <c r="AB129" s="2">
        <f>AA129-F129</f>
        <v>-0.82000000000000006</v>
      </c>
    </row>
    <row r="130" spans="1:28" hidden="1" x14ac:dyDescent="0.25">
      <c r="A130" s="1">
        <v>1</v>
      </c>
      <c r="B130" s="1">
        <v>16</v>
      </c>
      <c r="C130" s="1" t="s">
        <v>167</v>
      </c>
      <c r="D130" s="1" t="s">
        <v>35</v>
      </c>
      <c r="E130" s="1">
        <v>21</v>
      </c>
      <c r="F130" s="1">
        <v>4.66</v>
      </c>
      <c r="G130" s="1">
        <v>2086</v>
      </c>
      <c r="H130" s="2">
        <v>22.798747465414099</v>
      </c>
      <c r="I130" s="2">
        <v>51.834886168219498</v>
      </c>
      <c r="J130" s="2">
        <v>61.218372218372203</v>
      </c>
      <c r="K130" s="2">
        <v>27.969251302584599</v>
      </c>
      <c r="L130" s="2">
        <v>48.450065450065402</v>
      </c>
      <c r="M130" s="2">
        <v>71.2826929493596</v>
      </c>
      <c r="N130" s="2">
        <v>69.696286029619301</v>
      </c>
      <c r="O130" s="2">
        <v>46.185878185878103</v>
      </c>
      <c r="P130" s="2">
        <v>36.944893611560197</v>
      </c>
      <c r="Q130" s="2">
        <v>37.213367213367199</v>
      </c>
      <c r="R130" s="2">
        <v>49.413336413336403</v>
      </c>
      <c r="S130" s="2">
        <v>45.599009265675903</v>
      </c>
      <c r="T130" s="2">
        <v>46.250891917558498</v>
      </c>
      <c r="U130" s="2">
        <v>45.852108518775097</v>
      </c>
      <c r="V130" s="2">
        <v>41.817766484433101</v>
      </c>
      <c r="W130" s="2">
        <v>66.152485819152403</v>
      </c>
      <c r="X130" s="2">
        <v>65.210569543902807</v>
      </c>
      <c r="Y130" s="2">
        <v>46.096352763019397</v>
      </c>
      <c r="Z130" s="2">
        <v>-0.34823436902642202</v>
      </c>
      <c r="AA130" s="2">
        <f>MAX(120*16*Z130/SUM(Z:Z),0.75)</f>
        <v>0.75</v>
      </c>
      <c r="AB130" s="2">
        <f>AA130-F130</f>
        <v>-3.91</v>
      </c>
    </row>
    <row r="131" spans="1:28" hidden="1" x14ac:dyDescent="0.25">
      <c r="B131" s="1">
        <v>193</v>
      </c>
      <c r="C131" s="1" t="s">
        <v>174</v>
      </c>
      <c r="D131" s="1" t="s">
        <v>75</v>
      </c>
      <c r="E131" s="1">
        <v>28</v>
      </c>
      <c r="F131" s="1">
        <v>1.07</v>
      </c>
      <c r="G131" s="1">
        <v>2086</v>
      </c>
      <c r="H131" s="2">
        <v>26.570820409900801</v>
      </c>
      <c r="I131" s="2">
        <v>51.7844371465061</v>
      </c>
      <c r="J131" s="2">
        <v>55.0534269902086</v>
      </c>
      <c r="K131" s="2">
        <v>31.9790184272942</v>
      </c>
      <c r="L131" s="2">
        <v>49.159824849480003</v>
      </c>
      <c r="M131" s="2">
        <v>68.026850331448003</v>
      </c>
      <c r="N131" s="2">
        <v>63.507449978714298</v>
      </c>
      <c r="O131" s="2">
        <v>50.000243264611001</v>
      </c>
      <c r="P131" s="2">
        <v>36.342273307790499</v>
      </c>
      <c r="Q131" s="2">
        <v>43.076780392872301</v>
      </c>
      <c r="R131" s="2">
        <v>37.863194064343404</v>
      </c>
      <c r="S131" s="2">
        <v>33.981542297634199</v>
      </c>
      <c r="T131" s="2">
        <v>37.638660828315999</v>
      </c>
      <c r="U131" s="2">
        <v>50.0594477893328</v>
      </c>
      <c r="V131" s="2">
        <v>44.142887550933501</v>
      </c>
      <c r="W131" s="2">
        <v>62.607492550021199</v>
      </c>
      <c r="X131" s="2">
        <v>60.112205801860902</v>
      </c>
      <c r="Y131" s="2">
        <v>46.315666240953597</v>
      </c>
      <c r="Z131" s="2">
        <v>-0.42532064337440201</v>
      </c>
      <c r="AA131" s="2">
        <f>MAX(120*16*Z131/SUM(Z:Z),0.75)</f>
        <v>0.75</v>
      </c>
      <c r="AB131" s="2">
        <f>AA131-F131</f>
        <v>-0.32000000000000006</v>
      </c>
    </row>
    <row r="132" spans="1:28" hidden="1" x14ac:dyDescent="0.25">
      <c r="A132" s="1">
        <v>1</v>
      </c>
      <c r="B132" s="1">
        <v>168</v>
      </c>
      <c r="C132" s="1" t="s">
        <v>180</v>
      </c>
      <c r="D132" s="1" t="s">
        <v>43</v>
      </c>
      <c r="E132" s="1">
        <v>29</v>
      </c>
      <c r="F132" s="1">
        <v>1.41</v>
      </c>
      <c r="G132" s="1">
        <v>2087</v>
      </c>
      <c r="H132" s="2">
        <v>28.576946334089101</v>
      </c>
      <c r="I132" s="2">
        <v>51.742857142857098</v>
      </c>
      <c r="J132" s="2">
        <v>53.345427059712698</v>
      </c>
      <c r="K132" s="2">
        <v>60.177248677248599</v>
      </c>
      <c r="L132" s="2">
        <v>54.805139833711202</v>
      </c>
      <c r="M132" s="2">
        <v>36.977777777777703</v>
      </c>
      <c r="N132" s="2">
        <v>35.156009070294701</v>
      </c>
      <c r="O132" s="2">
        <v>41.437868480725598</v>
      </c>
      <c r="P132" s="2">
        <v>49.912320483748999</v>
      </c>
      <c r="Q132" s="2">
        <v>50.193650793650697</v>
      </c>
      <c r="R132" s="2">
        <v>38.952305366590998</v>
      </c>
      <c r="S132" s="2">
        <v>38.949130763416399</v>
      </c>
      <c r="T132" s="2">
        <v>41.513983371126201</v>
      </c>
      <c r="U132" s="2">
        <v>48.822222222222202</v>
      </c>
      <c r="V132" s="2">
        <v>53.204459561602398</v>
      </c>
      <c r="W132" s="2">
        <v>51.479818594104302</v>
      </c>
      <c r="X132" s="2">
        <v>51.148374905517699</v>
      </c>
      <c r="Y132" s="2">
        <v>65.105593348450498</v>
      </c>
      <c r="Z132" s="2">
        <v>0.163707680860598</v>
      </c>
      <c r="AA132" s="2">
        <f>MAX(120*16*Z132/SUM(Z:Z),0.75)</f>
        <v>2.3382258260503153</v>
      </c>
      <c r="AB132" s="2">
        <f>AA132-F132</f>
        <v>0.92822582605031534</v>
      </c>
    </row>
    <row r="133" spans="1:28" hidden="1" x14ac:dyDescent="0.25">
      <c r="B133" s="1">
        <v>62</v>
      </c>
      <c r="C133" s="1" t="s">
        <v>179</v>
      </c>
      <c r="D133" s="1" t="s">
        <v>75</v>
      </c>
      <c r="E133" s="1">
        <v>30</v>
      </c>
      <c r="F133" s="1">
        <v>0.87</v>
      </c>
      <c r="G133" s="1">
        <v>2087</v>
      </c>
      <c r="H133" s="2">
        <v>29.318739086480999</v>
      </c>
      <c r="I133" s="2">
        <v>51.515522470361098</v>
      </c>
      <c r="J133" s="2">
        <v>52.214245014245002</v>
      </c>
      <c r="K133" s="2">
        <v>35.522378457862303</v>
      </c>
      <c r="L133" s="2">
        <v>51.529657200624897</v>
      </c>
      <c r="M133" s="2">
        <v>54.0826394632846</v>
      </c>
      <c r="N133" s="2">
        <v>49.182225898354901</v>
      </c>
      <c r="O133" s="2">
        <v>47.0176821983273</v>
      </c>
      <c r="P133" s="2">
        <v>45.5577060931899</v>
      </c>
      <c r="Q133" s="2">
        <v>50.199485341420797</v>
      </c>
      <c r="R133" s="2">
        <v>49.353092546640902</v>
      </c>
      <c r="S133" s="2">
        <v>50.824960941089898</v>
      </c>
      <c r="T133" s="2">
        <v>53.459682014520702</v>
      </c>
      <c r="U133" s="2">
        <v>50.7607205220108</v>
      </c>
      <c r="V133" s="2">
        <v>47.083926109732502</v>
      </c>
      <c r="W133" s="2">
        <v>56.566657476334797</v>
      </c>
      <c r="X133" s="2">
        <v>55.322010844591397</v>
      </c>
      <c r="Y133" s="2">
        <v>46.273541034831297</v>
      </c>
      <c r="Z133" s="2">
        <v>-0.50333652984555499</v>
      </c>
      <c r="AA133" s="2">
        <f>MAX(120*16*Z133/SUM(Z:Z),0.75)</f>
        <v>0.75</v>
      </c>
      <c r="AB133" s="2">
        <f>AA133-F133</f>
        <v>-0.12</v>
      </c>
    </row>
    <row r="134" spans="1:28" hidden="1" x14ac:dyDescent="0.25">
      <c r="A134" s="1">
        <v>1</v>
      </c>
      <c r="B134" s="1">
        <v>37</v>
      </c>
      <c r="C134" s="1" t="s">
        <v>171</v>
      </c>
      <c r="D134" s="1" t="s">
        <v>75</v>
      </c>
      <c r="E134" s="1">
        <v>20</v>
      </c>
      <c r="F134" s="1">
        <v>5.44</v>
      </c>
      <c r="G134" s="1">
        <v>2087</v>
      </c>
      <c r="H134" s="2">
        <v>23.139391329313799</v>
      </c>
      <c r="I134" s="2">
        <v>51.459015216767099</v>
      </c>
      <c r="J134" s="2">
        <v>60.535745047372899</v>
      </c>
      <c r="K134" s="2">
        <v>28.7433964972724</v>
      </c>
      <c r="L134" s="2">
        <v>45.293640539764503</v>
      </c>
      <c r="M134" s="2">
        <v>71.050890037324095</v>
      </c>
      <c r="N134" s="2">
        <v>68.768303186907801</v>
      </c>
      <c r="O134" s="2">
        <v>43.957292563881701</v>
      </c>
      <c r="P134" s="2">
        <v>31.1224519092736</v>
      </c>
      <c r="Q134" s="2">
        <v>33.448535745047302</v>
      </c>
      <c r="R134" s="2">
        <v>45.441932242319801</v>
      </c>
      <c r="S134" s="2">
        <v>46.404823428079197</v>
      </c>
      <c r="T134" s="2">
        <v>44.058211312087202</v>
      </c>
      <c r="U134" s="2">
        <v>44.718848693654898</v>
      </c>
      <c r="V134" s="2">
        <v>43.323140970427701</v>
      </c>
      <c r="W134" s="2">
        <v>69.172337065747897</v>
      </c>
      <c r="X134" s="2">
        <v>70.291846109675504</v>
      </c>
      <c r="Y134" s="2">
        <v>47.248420901521598</v>
      </c>
      <c r="Z134" s="2">
        <v>0.50244953475278498</v>
      </c>
      <c r="AA134" s="2">
        <f>MAX(120*16*Z134/SUM(Z:Z),0.75)</f>
        <v>7.1764530061747029</v>
      </c>
      <c r="AB134" s="2">
        <f>AA134-F134</f>
        <v>1.7364530061747026</v>
      </c>
    </row>
    <row r="135" spans="1:28" hidden="1" x14ac:dyDescent="0.25">
      <c r="B135" s="1">
        <v>165</v>
      </c>
      <c r="C135" s="1" t="s">
        <v>175</v>
      </c>
      <c r="D135" s="1" t="s">
        <v>55</v>
      </c>
      <c r="E135" s="1">
        <v>30</v>
      </c>
      <c r="F135" s="1">
        <v>3.56</v>
      </c>
      <c r="G135" s="1">
        <v>2086</v>
      </c>
      <c r="H135" s="2">
        <v>29.754066985645899</v>
      </c>
      <c r="I135" s="2">
        <v>51.449473684210503</v>
      </c>
      <c r="J135" s="2">
        <v>52.155933014353998</v>
      </c>
      <c r="K135" s="2">
        <v>52.314162679425799</v>
      </c>
      <c r="L135" s="2">
        <v>50.5153110047846</v>
      </c>
      <c r="M135" s="2">
        <v>47.622328548644298</v>
      </c>
      <c r="N135" s="2">
        <v>43.410127591706498</v>
      </c>
      <c r="O135" s="2">
        <v>40.996555023923399</v>
      </c>
      <c r="P135" s="2">
        <v>42.168612440191303</v>
      </c>
      <c r="Q135" s="2">
        <v>50.8223285486443</v>
      </c>
      <c r="R135" s="2">
        <v>48.173763955342899</v>
      </c>
      <c r="S135" s="2">
        <v>47.347671451355602</v>
      </c>
      <c r="T135" s="2">
        <v>50.012647527910602</v>
      </c>
      <c r="U135" s="2">
        <v>43.704545454545404</v>
      </c>
      <c r="V135" s="2">
        <v>48.645566188197698</v>
      </c>
      <c r="W135" s="2">
        <v>56.784258373205702</v>
      </c>
      <c r="X135" s="2">
        <v>51.775055821371602</v>
      </c>
      <c r="Y135" s="2">
        <v>50.662711323763901</v>
      </c>
      <c r="Z135" s="2">
        <v>-0.15702108898243999</v>
      </c>
      <c r="AA135" s="2">
        <f>MAX(120*16*Z135/SUM(Z:Z),0.75)</f>
        <v>0.75</v>
      </c>
      <c r="AB135" s="2">
        <f>AA135-F135</f>
        <v>-2.81</v>
      </c>
    </row>
    <row r="136" spans="1:28" hidden="1" x14ac:dyDescent="0.25">
      <c r="A136" s="1">
        <v>1</v>
      </c>
      <c r="B136" s="1">
        <v>210</v>
      </c>
      <c r="C136" s="1" t="s">
        <v>172</v>
      </c>
      <c r="D136" s="1" t="s">
        <v>35</v>
      </c>
      <c r="E136" s="1">
        <v>29</v>
      </c>
      <c r="F136" s="1">
        <v>1.45</v>
      </c>
      <c r="G136" s="1">
        <v>2086</v>
      </c>
      <c r="H136" s="2">
        <v>28.269971751412399</v>
      </c>
      <c r="I136" s="2">
        <v>51.425508474576198</v>
      </c>
      <c r="J136" s="2">
        <v>52.872824858756999</v>
      </c>
      <c r="K136" s="2">
        <v>39.771412429378501</v>
      </c>
      <c r="L136" s="2">
        <v>50.1789830508474</v>
      </c>
      <c r="M136" s="2">
        <v>57.235536723163797</v>
      </c>
      <c r="N136" s="2">
        <v>52.2314971751412</v>
      </c>
      <c r="O136" s="2">
        <v>44.923022598869998</v>
      </c>
      <c r="P136" s="2">
        <v>45.189435028248496</v>
      </c>
      <c r="Q136" s="2">
        <v>51.8561299435028</v>
      </c>
      <c r="R136" s="2">
        <v>58.235819209039498</v>
      </c>
      <c r="S136" s="2">
        <v>56.313870056497102</v>
      </c>
      <c r="T136" s="2">
        <v>59.5152259887005</v>
      </c>
      <c r="U136" s="2">
        <v>47.3819209039548</v>
      </c>
      <c r="V136" s="2">
        <v>44.985310734463198</v>
      </c>
      <c r="W136" s="2">
        <v>50.7610734463276</v>
      </c>
      <c r="X136" s="2">
        <v>45.972740112994302</v>
      </c>
      <c r="Y136" s="2">
        <v>42.193305084745703</v>
      </c>
      <c r="Z136" s="2">
        <v>-0.47322985815660001</v>
      </c>
      <c r="AA136" s="2">
        <f>MAX(120*16*Z136/SUM(Z:Z),0.75)</f>
        <v>0.75</v>
      </c>
      <c r="AB136" s="2">
        <f>AA136-F136</f>
        <v>-0.7</v>
      </c>
    </row>
    <row r="137" spans="1:28" hidden="1" x14ac:dyDescent="0.25">
      <c r="B137" s="1">
        <v>163</v>
      </c>
      <c r="C137" s="1" t="s">
        <v>176</v>
      </c>
      <c r="D137" s="1" t="s">
        <v>35</v>
      </c>
      <c r="E137" s="1">
        <v>23</v>
      </c>
      <c r="F137" s="1">
        <v>5.16</v>
      </c>
      <c r="G137" s="1">
        <v>2087</v>
      </c>
      <c r="H137" s="2">
        <v>24.027944124227499</v>
      </c>
      <c r="I137" s="2">
        <v>51.224247490247897</v>
      </c>
      <c r="J137" s="2">
        <v>58.040589573404503</v>
      </c>
      <c r="K137" s="2">
        <v>35.455012642330097</v>
      </c>
      <c r="L137" s="2">
        <v>49.484422694646099</v>
      </c>
      <c r="M137" s="2">
        <v>68.730599845297704</v>
      </c>
      <c r="N137" s="2">
        <v>67.613049047250698</v>
      </c>
      <c r="O137" s="2">
        <v>47.16753062854</v>
      </c>
      <c r="P137" s="2">
        <v>32.150715081800797</v>
      </c>
      <c r="Q137" s="2">
        <v>44.597761808518598</v>
      </c>
      <c r="R137" s="2">
        <v>50.9143710856601</v>
      </c>
      <c r="S137" s="2">
        <v>52.076998652593701</v>
      </c>
      <c r="T137" s="2">
        <v>51.658801598589299</v>
      </c>
      <c r="U137" s="2">
        <v>42.555518127604302</v>
      </c>
      <c r="V137" s="2">
        <v>42.036545275344899</v>
      </c>
      <c r="W137" s="2">
        <v>55.400650622551503</v>
      </c>
      <c r="X137" s="2">
        <v>50.337486796250502</v>
      </c>
      <c r="Y137" s="2">
        <v>41.889749731766301</v>
      </c>
      <c r="Z137" s="2">
        <v>-1.42426269744956</v>
      </c>
      <c r="AA137" s="2">
        <f>MAX(120*16*Z137/SUM(Z:Z),0.75)</f>
        <v>0.75</v>
      </c>
      <c r="AB137" s="2">
        <f>AA137-F137</f>
        <v>-4.41</v>
      </c>
    </row>
    <row r="138" spans="1:28" hidden="1" x14ac:dyDescent="0.25">
      <c r="A138" s="1">
        <v>1</v>
      </c>
      <c r="B138" s="1">
        <v>39</v>
      </c>
      <c r="C138" s="1" t="s">
        <v>185</v>
      </c>
      <c r="D138" s="1" t="s">
        <v>46</v>
      </c>
      <c r="E138" s="1">
        <v>22</v>
      </c>
      <c r="F138" s="1">
        <v>2.29</v>
      </c>
      <c r="G138" s="1">
        <v>2087</v>
      </c>
      <c r="H138" s="2">
        <v>23.9080907048386</v>
      </c>
      <c r="I138" s="2">
        <v>51.208579436221697</v>
      </c>
      <c r="J138" s="2">
        <v>58.682092974775898</v>
      </c>
      <c r="K138" s="2">
        <v>54.7697403469761</v>
      </c>
      <c r="L138" s="2">
        <v>51.539133254580399</v>
      </c>
      <c r="M138" s="2">
        <v>40.108933824380898</v>
      </c>
      <c r="N138" s="2">
        <v>40.046580038449903</v>
      </c>
      <c r="O138" s="2">
        <v>46.656938364255403</v>
      </c>
      <c r="P138" s="2">
        <v>56.861927593634903</v>
      </c>
      <c r="Q138" s="2">
        <v>49.657586917749498</v>
      </c>
      <c r="R138" s="2">
        <v>42.6754684640863</v>
      </c>
      <c r="S138" s="2">
        <v>42.489194635536101</v>
      </c>
      <c r="T138" s="2">
        <v>45.996386630532903</v>
      </c>
      <c r="U138" s="2">
        <v>47.521738123364102</v>
      </c>
      <c r="V138" s="2">
        <v>50.3188103675908</v>
      </c>
      <c r="W138" s="2">
        <v>51.557524378662499</v>
      </c>
      <c r="X138" s="2">
        <v>50.957519746137599</v>
      </c>
      <c r="Y138" s="2">
        <v>63.508998679730297</v>
      </c>
      <c r="Z138" s="2">
        <v>-0.351888661385798</v>
      </c>
      <c r="AA138" s="2">
        <f>MAX(120*16*Z138/SUM(Z:Z),0.75)</f>
        <v>0.75</v>
      </c>
      <c r="AB138" s="2">
        <f>AA138-F138</f>
        <v>-1.54</v>
      </c>
    </row>
    <row r="139" spans="1:28" hidden="1" x14ac:dyDescent="0.25">
      <c r="A139" s="1">
        <v>1</v>
      </c>
      <c r="B139" s="1">
        <v>182</v>
      </c>
      <c r="C139" s="1" t="s">
        <v>177</v>
      </c>
      <c r="D139" s="1" t="s">
        <v>53</v>
      </c>
      <c r="E139" s="1">
        <v>33</v>
      </c>
      <c r="F139" s="1">
        <v>1.05</v>
      </c>
      <c r="G139" s="1">
        <v>2086</v>
      </c>
      <c r="H139" s="2">
        <v>30.6787037037037</v>
      </c>
      <c r="I139" s="2">
        <v>51.092129629629603</v>
      </c>
      <c r="J139" s="2">
        <v>51.336574074074001</v>
      </c>
      <c r="K139" s="2">
        <v>44.368981481481399</v>
      </c>
      <c r="L139" s="2">
        <v>50.313888888888798</v>
      </c>
      <c r="M139" s="2">
        <v>51.183796296296201</v>
      </c>
      <c r="N139" s="2">
        <v>44.387962962962902</v>
      </c>
      <c r="O139" s="2">
        <v>43.507407407407399</v>
      </c>
      <c r="P139" s="2">
        <v>43.135185185185101</v>
      </c>
      <c r="Q139" s="2">
        <v>56.231018518518503</v>
      </c>
      <c r="R139" s="2">
        <v>54.130092592592597</v>
      </c>
      <c r="S139" s="2">
        <v>51.542129629629599</v>
      </c>
      <c r="T139" s="2">
        <v>54.181018518518499</v>
      </c>
      <c r="U139" s="2">
        <v>49.393518518518498</v>
      </c>
      <c r="V139" s="2">
        <v>47.383796296296303</v>
      </c>
      <c r="W139" s="2">
        <v>52.570833333333297</v>
      </c>
      <c r="X139" s="2">
        <v>45.213425925925897</v>
      </c>
      <c r="Y139" s="2">
        <v>43.329629629629601</v>
      </c>
      <c r="Z139" s="2">
        <v>-0.28559479493572099</v>
      </c>
      <c r="AA139" s="2">
        <f>MAX(120*16*Z139/SUM(Z:Z),0.75)</f>
        <v>0.75</v>
      </c>
      <c r="AB139" s="2">
        <f>AA139-F139</f>
        <v>-0.30000000000000004</v>
      </c>
    </row>
    <row r="140" spans="1:28" hidden="1" x14ac:dyDescent="0.25">
      <c r="A140" s="1">
        <v>1</v>
      </c>
      <c r="B140" s="1">
        <v>238</v>
      </c>
      <c r="C140" s="1" t="s">
        <v>181</v>
      </c>
      <c r="D140" s="1" t="s">
        <v>75</v>
      </c>
      <c r="E140" s="1">
        <v>29</v>
      </c>
      <c r="F140" s="1">
        <v>0.75</v>
      </c>
      <c r="G140" s="1">
        <v>2085</v>
      </c>
      <c r="H140" s="2">
        <v>26.505466903073199</v>
      </c>
      <c r="I140" s="2">
        <v>51.057653664302599</v>
      </c>
      <c r="J140" s="2">
        <v>54.604533096926701</v>
      </c>
      <c r="K140" s="2">
        <v>32.441353427895898</v>
      </c>
      <c r="L140" s="2">
        <v>50.900118203309603</v>
      </c>
      <c r="M140" s="2">
        <v>66.908244680850999</v>
      </c>
      <c r="N140" s="2">
        <v>67.078552009456203</v>
      </c>
      <c r="O140" s="2">
        <v>49.708947990543699</v>
      </c>
      <c r="P140" s="2">
        <v>36.572299054373502</v>
      </c>
      <c r="Q140" s="2">
        <v>44.8818380614657</v>
      </c>
      <c r="R140" s="2">
        <v>55.661696217493997</v>
      </c>
      <c r="S140" s="2">
        <v>56.961572104018899</v>
      </c>
      <c r="T140" s="2">
        <v>53.278161938534197</v>
      </c>
      <c r="U140" s="2">
        <v>42.783865248226903</v>
      </c>
      <c r="V140" s="2">
        <v>43.599119385342703</v>
      </c>
      <c r="W140" s="2">
        <v>53.392352245862803</v>
      </c>
      <c r="X140" s="2">
        <v>50.387771867612202</v>
      </c>
      <c r="Y140" s="2">
        <v>39.6583983451536</v>
      </c>
      <c r="Z140" s="2">
        <v>-2.27685083230892</v>
      </c>
      <c r="AA140" s="2">
        <f>MAX(120*16*Z140/SUM(Z:Z),0.75)</f>
        <v>0.75</v>
      </c>
      <c r="AB140" s="2">
        <f>AA140-F140</f>
        <v>0</v>
      </c>
    </row>
    <row r="141" spans="1:28" hidden="1" x14ac:dyDescent="0.25">
      <c r="A141" s="1">
        <v>1</v>
      </c>
      <c r="B141" s="1">
        <v>8</v>
      </c>
      <c r="C141" s="1" t="s">
        <v>182</v>
      </c>
      <c r="D141" s="1" t="s">
        <v>75</v>
      </c>
      <c r="E141" s="1">
        <v>19</v>
      </c>
      <c r="F141" s="1">
        <v>3.35</v>
      </c>
      <c r="G141" s="1">
        <v>2087</v>
      </c>
      <c r="H141" s="2">
        <v>22.209084416641002</v>
      </c>
      <c r="I141" s="2">
        <v>50.904454971161996</v>
      </c>
      <c r="J141" s="2">
        <v>61.955804359748498</v>
      </c>
      <c r="K141" s="2">
        <v>28.605686536850499</v>
      </c>
      <c r="L141" s="2">
        <v>42.887301343361798</v>
      </c>
      <c r="M141" s="2">
        <v>64.718336979515001</v>
      </c>
      <c r="N141" s="2">
        <v>66.002954612570505</v>
      </c>
      <c r="O141" s="2">
        <v>40.582897900884099</v>
      </c>
      <c r="P141" s="2">
        <v>35.751585034382501</v>
      </c>
      <c r="Q141" s="2">
        <v>35.552691846414298</v>
      </c>
      <c r="R141" s="2">
        <v>55.433894122113898</v>
      </c>
      <c r="S141" s="2">
        <v>57.5484008027626</v>
      </c>
      <c r="T141" s="2">
        <v>57.573705605477102</v>
      </c>
      <c r="U141" s="2">
        <v>45.473565182278897</v>
      </c>
      <c r="V141" s="2">
        <v>41.299598618669599</v>
      </c>
      <c r="W141" s="2">
        <v>68.338686591091204</v>
      </c>
      <c r="X141" s="2">
        <v>66.7286592899287</v>
      </c>
      <c r="Y141" s="2">
        <v>47.011244402659003</v>
      </c>
      <c r="Z141" s="2">
        <v>0.46040758723932301</v>
      </c>
      <c r="AA141" s="2">
        <f>MAX(120*16*Z141/SUM(Z:Z),0.75)</f>
        <v>6.5759706895438965</v>
      </c>
      <c r="AB141" s="2">
        <f>AA141-F141</f>
        <v>3.2259706895438964</v>
      </c>
    </row>
    <row r="142" spans="1:28" hidden="1" x14ac:dyDescent="0.25">
      <c r="B142" s="1">
        <v>221</v>
      </c>
      <c r="C142" s="1" t="s">
        <v>178</v>
      </c>
      <c r="D142" s="1" t="s">
        <v>37</v>
      </c>
      <c r="E142" s="1">
        <v>29</v>
      </c>
      <c r="F142" s="1">
        <v>0.75</v>
      </c>
      <c r="G142" s="1">
        <v>2085</v>
      </c>
      <c r="H142" s="2">
        <v>28.351881293057701</v>
      </c>
      <c r="I142" s="2">
        <v>50.845089671715002</v>
      </c>
      <c r="J142" s="2">
        <v>52.036245223551703</v>
      </c>
      <c r="K142" s="2">
        <v>44.0224946308537</v>
      </c>
      <c r="L142" s="2">
        <v>45.561277996262497</v>
      </c>
      <c r="M142" s="2">
        <v>52.969709647728202</v>
      </c>
      <c r="N142" s="2">
        <v>47.546160711795302</v>
      </c>
      <c r="O142" s="2">
        <v>43.6087077789864</v>
      </c>
      <c r="P142" s="2">
        <v>38.2881069924413</v>
      </c>
      <c r="Q142" s="2">
        <v>45.971731793713197</v>
      </c>
      <c r="R142" s="2">
        <v>48.213859370206102</v>
      </c>
      <c r="S142" s="2">
        <v>43.675661729841202</v>
      </c>
      <c r="T142" s="2">
        <v>48.264566424009097</v>
      </c>
      <c r="U142" s="2">
        <v>50.022661980866303</v>
      </c>
      <c r="V142" s="2">
        <v>48.164658466516002</v>
      </c>
      <c r="W142" s="2">
        <v>57.015214905307701</v>
      </c>
      <c r="X142" s="2">
        <v>50.304814102027699</v>
      </c>
      <c r="Y142" s="2">
        <v>48.074261568069602</v>
      </c>
      <c r="Z142" s="2">
        <v>-0.39681145532899398</v>
      </c>
      <c r="AA142" s="2">
        <f>MAX(120*16*Z142/SUM(Z:Z),0.75)</f>
        <v>0.75</v>
      </c>
      <c r="AB142" s="2">
        <f>AA142-F142</f>
        <v>0</v>
      </c>
    </row>
    <row r="143" spans="1:28" hidden="1" x14ac:dyDescent="0.25">
      <c r="B143" s="1">
        <v>223</v>
      </c>
      <c r="C143" s="1" t="s">
        <v>189</v>
      </c>
      <c r="D143" s="1" t="s">
        <v>35</v>
      </c>
      <c r="E143" s="1">
        <v>26</v>
      </c>
      <c r="F143" s="1">
        <v>1.42</v>
      </c>
      <c r="G143" s="1">
        <v>2086</v>
      </c>
      <c r="H143" s="2">
        <v>26.0829101118956</v>
      </c>
      <c r="I143" s="2">
        <v>50.773855237623302</v>
      </c>
      <c r="J143" s="2">
        <v>54.853255708328099</v>
      </c>
      <c r="K143" s="2">
        <v>31.178331062388999</v>
      </c>
      <c r="L143" s="2">
        <v>45.623642594656999</v>
      </c>
      <c r="M143" s="2">
        <v>66.512283744167803</v>
      </c>
      <c r="N143" s="2">
        <v>63.575457285602198</v>
      </c>
      <c r="O143" s="2">
        <v>49.232007927660099</v>
      </c>
      <c r="P143" s="2">
        <v>30.750402576489499</v>
      </c>
      <c r="Q143" s="2">
        <v>36.112886576654603</v>
      </c>
      <c r="R143" s="2">
        <v>44.073991494281302</v>
      </c>
      <c r="S143" s="2">
        <v>41.909533837070001</v>
      </c>
      <c r="T143" s="2">
        <v>41.458441719311203</v>
      </c>
      <c r="U143" s="2">
        <v>48.325446963128101</v>
      </c>
      <c r="V143" s="2">
        <v>43.2700359222098</v>
      </c>
      <c r="W143" s="2">
        <v>64.694372187125794</v>
      </c>
      <c r="X143" s="2">
        <v>62.564350303480701</v>
      </c>
      <c r="Y143" s="2">
        <v>44.540691192865097</v>
      </c>
      <c r="Z143" s="2">
        <v>-0.64149943571660895</v>
      </c>
      <c r="AA143" s="2">
        <f>MAX(120*16*Z143/SUM(Z:Z),0.75)</f>
        <v>0.75</v>
      </c>
      <c r="AB143" s="2">
        <f>AA143-F143</f>
        <v>-0.66999999999999993</v>
      </c>
    </row>
    <row r="144" spans="1:28" hidden="1" x14ac:dyDescent="0.25">
      <c r="A144" s="1">
        <v>1</v>
      </c>
      <c r="B144" s="1">
        <v>161</v>
      </c>
      <c r="C144" s="1" t="s">
        <v>186</v>
      </c>
      <c r="D144" s="1" t="s">
        <v>43</v>
      </c>
      <c r="E144" s="1">
        <v>24</v>
      </c>
      <c r="F144" s="1">
        <v>3.55</v>
      </c>
      <c r="G144" s="1">
        <v>2087</v>
      </c>
      <c r="H144" s="2">
        <v>24.490684293189801</v>
      </c>
      <c r="I144" s="2">
        <v>50.765957288433299</v>
      </c>
      <c r="J144" s="2">
        <v>56.826769909857603</v>
      </c>
      <c r="K144" s="2">
        <v>64.739731508154406</v>
      </c>
      <c r="L144" s="2">
        <v>54.462430122894297</v>
      </c>
      <c r="M144" s="2">
        <v>43.892874954407702</v>
      </c>
      <c r="N144" s="2">
        <v>43.822344669986499</v>
      </c>
      <c r="O144" s="2">
        <v>42.881676008426098</v>
      </c>
      <c r="P144" s="2">
        <v>52.249964642742803</v>
      </c>
      <c r="Q144" s="2">
        <v>50.812571179741397</v>
      </c>
      <c r="R144" s="2">
        <v>33.432242468904199</v>
      </c>
      <c r="S144" s="2">
        <v>33.264890987993397</v>
      </c>
      <c r="T144" s="2">
        <v>33.539030690099203</v>
      </c>
      <c r="U144" s="2">
        <v>43.8164009289654</v>
      </c>
      <c r="V144" s="2">
        <v>49.163670604348503</v>
      </c>
      <c r="W144" s="2">
        <v>45.829864600314103</v>
      </c>
      <c r="X144" s="2">
        <v>45.646619101851201</v>
      </c>
      <c r="Y144" s="2">
        <v>60.972413895774203</v>
      </c>
      <c r="Z144" s="2">
        <v>-0.26851389456124503</v>
      </c>
      <c r="AA144" s="2">
        <f>MAX(120*16*Z144/SUM(Z:Z),0.75)</f>
        <v>0.75</v>
      </c>
      <c r="AB144" s="2">
        <f>AA144-F144</f>
        <v>-2.8</v>
      </c>
    </row>
    <row r="145" spans="1:28" hidden="1" x14ac:dyDescent="0.25">
      <c r="A145" s="1">
        <v>1</v>
      </c>
      <c r="B145" s="1">
        <v>122</v>
      </c>
      <c r="C145" s="1" t="s">
        <v>187</v>
      </c>
      <c r="D145" s="1" t="s">
        <v>37</v>
      </c>
      <c r="E145" s="1">
        <v>20</v>
      </c>
      <c r="F145" s="1">
        <v>0.75</v>
      </c>
      <c r="G145" s="1">
        <v>2086</v>
      </c>
      <c r="H145" s="2">
        <v>22.9659384543105</v>
      </c>
      <c r="I145" s="2">
        <v>50.530574077085703</v>
      </c>
      <c r="J145" s="2">
        <v>60.004761388482301</v>
      </c>
      <c r="K145" s="2">
        <v>47.4399992772085</v>
      </c>
      <c r="L145" s="2">
        <v>54.542920258036503</v>
      </c>
      <c r="M145" s="2">
        <v>47.392913933611602</v>
      </c>
      <c r="N145" s="2">
        <v>46.889019894833801</v>
      </c>
      <c r="O145" s="2">
        <v>43.550970347481901</v>
      </c>
      <c r="P145" s="2">
        <v>56.610492220957298</v>
      </c>
      <c r="Q145" s="2">
        <v>52.995577419996003</v>
      </c>
      <c r="R145" s="2">
        <v>43.178570137872399</v>
      </c>
      <c r="S145" s="2">
        <v>43.266411882690903</v>
      </c>
      <c r="T145" s="2">
        <v>46.6826900489691</v>
      </c>
      <c r="U145" s="2">
        <v>45.850431867873702</v>
      </c>
      <c r="V145" s="2">
        <v>50.025514537142399</v>
      </c>
      <c r="W145" s="2">
        <v>49.463562277515699</v>
      </c>
      <c r="X145" s="2">
        <v>48.047234419327403</v>
      </c>
      <c r="Y145" s="2">
        <v>56.786753943730602</v>
      </c>
      <c r="Z145" s="2">
        <v>-0.82210631865365602</v>
      </c>
      <c r="AA145" s="2">
        <f>MAX(120*16*Z145/SUM(Z:Z),0.75)</f>
        <v>0.75</v>
      </c>
      <c r="AB145" s="2">
        <f>AA145-F145</f>
        <v>0</v>
      </c>
    </row>
    <row r="146" spans="1:28" hidden="1" x14ac:dyDescent="0.25">
      <c r="A146" s="1">
        <v>1</v>
      </c>
      <c r="B146" s="1">
        <v>195</v>
      </c>
      <c r="C146" s="1" t="s">
        <v>184</v>
      </c>
      <c r="D146" s="1" t="s">
        <v>46</v>
      </c>
      <c r="E146" s="1">
        <v>37</v>
      </c>
      <c r="F146" s="1">
        <v>1.53</v>
      </c>
      <c r="G146" s="1">
        <v>2086</v>
      </c>
      <c r="H146" s="2">
        <v>33.136704244031797</v>
      </c>
      <c r="I146" s="2">
        <v>50.489135720601197</v>
      </c>
      <c r="J146" s="2">
        <v>50.489135720601197</v>
      </c>
      <c r="K146" s="2">
        <v>56.4500552608311</v>
      </c>
      <c r="L146" s="2">
        <v>50.067252431476497</v>
      </c>
      <c r="M146" s="2">
        <v>30.723839522546399</v>
      </c>
      <c r="N146" s="2">
        <v>22.3044761273209</v>
      </c>
      <c r="O146" s="2">
        <v>35.403171971706399</v>
      </c>
      <c r="P146" s="2">
        <v>49.728017241379298</v>
      </c>
      <c r="Q146" s="2">
        <v>54.031852343059199</v>
      </c>
      <c r="R146" s="2">
        <v>48.344739168877098</v>
      </c>
      <c r="S146" s="2">
        <v>44.764378868258099</v>
      </c>
      <c r="T146" s="2">
        <v>49.636936339522499</v>
      </c>
      <c r="U146" s="2">
        <v>52.268556587090998</v>
      </c>
      <c r="V146" s="2">
        <v>54.761792661361604</v>
      </c>
      <c r="W146" s="2">
        <v>55.683123342175001</v>
      </c>
      <c r="X146" s="2">
        <v>52.985621131741802</v>
      </c>
      <c r="Y146" s="2">
        <v>59.360676392572898</v>
      </c>
      <c r="Z146" s="2">
        <v>0.21125201390967299</v>
      </c>
      <c r="AA146" s="2">
        <f>MAX(120*16*Z146/SUM(Z:Z),0.75)</f>
        <v>3.0172983462477565</v>
      </c>
      <c r="AB146" s="2">
        <f>AA146-F146</f>
        <v>1.4872983462477565</v>
      </c>
    </row>
    <row r="147" spans="1:28" hidden="1" x14ac:dyDescent="0.25">
      <c r="A147" s="1">
        <v>1</v>
      </c>
      <c r="B147" s="1">
        <v>11</v>
      </c>
      <c r="C147" s="1" t="s">
        <v>183</v>
      </c>
      <c r="D147" s="1" t="s">
        <v>75</v>
      </c>
      <c r="E147" s="1">
        <v>19</v>
      </c>
      <c r="F147" s="1">
        <v>2.0499999999999998</v>
      </c>
      <c r="G147" s="1">
        <v>2087</v>
      </c>
      <c r="H147" s="2">
        <v>22.019947549359301</v>
      </c>
      <c r="I147" s="2">
        <v>50.429925400513604</v>
      </c>
      <c r="J147" s="2">
        <v>62.014498661557397</v>
      </c>
      <c r="K147" s="2">
        <v>31.006196241490301</v>
      </c>
      <c r="L147" s="2">
        <v>46.889710977946201</v>
      </c>
      <c r="M147" s="2">
        <v>69.312373459432294</v>
      </c>
      <c r="N147" s="2">
        <v>67.244846656611301</v>
      </c>
      <c r="O147" s="2">
        <v>42.0831329066623</v>
      </c>
      <c r="P147" s="2">
        <v>34.7873506991154</v>
      </c>
      <c r="Q147" s="2">
        <v>40.927805633687903</v>
      </c>
      <c r="R147" s="2">
        <v>54.279883956354503</v>
      </c>
      <c r="S147" s="2">
        <v>51.555141113964602</v>
      </c>
      <c r="T147" s="2">
        <v>54.492410962999202</v>
      </c>
      <c r="U147" s="2">
        <v>42.626153302623798</v>
      </c>
      <c r="V147" s="2">
        <v>42.666102754337999</v>
      </c>
      <c r="W147" s="2">
        <v>57.953820336173202</v>
      </c>
      <c r="X147" s="2">
        <v>54.190812984930602</v>
      </c>
      <c r="Y147" s="2">
        <v>42.2541546070957</v>
      </c>
      <c r="Z147" s="2">
        <v>-0.61813191474649998</v>
      </c>
      <c r="AA147" s="2">
        <f>MAX(120*16*Z147/SUM(Z:Z),0.75)</f>
        <v>0.75</v>
      </c>
      <c r="AB147" s="2">
        <f>AA147-F147</f>
        <v>-1.2999999999999998</v>
      </c>
    </row>
    <row r="148" spans="1:28" hidden="1" x14ac:dyDescent="0.25">
      <c r="A148" s="1">
        <v>1</v>
      </c>
      <c r="B148" s="1">
        <v>9</v>
      </c>
      <c r="C148" s="1" t="s">
        <v>191</v>
      </c>
      <c r="D148" s="1" t="s">
        <v>75</v>
      </c>
      <c r="E148" s="1">
        <v>19</v>
      </c>
      <c r="F148" s="1">
        <v>4.66</v>
      </c>
      <c r="G148" s="1">
        <v>2087</v>
      </c>
      <c r="H148" s="2">
        <v>22.048591845313101</v>
      </c>
      <c r="I148" s="2">
        <v>50.112848052644502</v>
      </c>
      <c r="J148" s="2">
        <v>62.212720499775301</v>
      </c>
      <c r="K148" s="2">
        <v>33.1161658767085</v>
      </c>
      <c r="L148" s="2">
        <v>46.777752170572903</v>
      </c>
      <c r="M148" s="2">
        <v>69.6824179965502</v>
      </c>
      <c r="N148" s="2">
        <v>69.733172442782305</v>
      </c>
      <c r="O148" s="2">
        <v>40.703378701569697</v>
      </c>
      <c r="P148" s="2">
        <v>36.400905915264303</v>
      </c>
      <c r="Q148" s="2">
        <v>41.2178530532968</v>
      </c>
      <c r="R148" s="2">
        <v>55.288340508182202</v>
      </c>
      <c r="S148" s="2">
        <v>56.475170674435702</v>
      </c>
      <c r="T148" s="2">
        <v>56.560734008783697</v>
      </c>
      <c r="U148" s="2">
        <v>38.126900610224503</v>
      </c>
      <c r="V148" s="2">
        <v>39.088747807685003</v>
      </c>
      <c r="W148" s="2">
        <v>59.901116087605601</v>
      </c>
      <c r="X148" s="2">
        <v>59.343286805525302</v>
      </c>
      <c r="Y148" s="2">
        <v>42.419883752953197</v>
      </c>
      <c r="Z148" s="2">
        <v>-0.63456194261322496</v>
      </c>
      <c r="AA148" s="2">
        <f>MAX(120*16*Z148/SUM(Z:Z),0.75)</f>
        <v>0.75</v>
      </c>
      <c r="AB148" s="2">
        <f>AA148-F148</f>
        <v>-3.91</v>
      </c>
    </row>
    <row r="149" spans="1:28" hidden="1" x14ac:dyDescent="0.25">
      <c r="B149" s="1">
        <v>192</v>
      </c>
      <c r="C149" s="1" t="s">
        <v>192</v>
      </c>
      <c r="D149" s="1" t="s">
        <v>55</v>
      </c>
      <c r="E149" s="1">
        <v>27</v>
      </c>
      <c r="F149" s="1">
        <v>1.47</v>
      </c>
      <c r="G149" s="1">
        <v>2085</v>
      </c>
      <c r="H149" s="2">
        <v>27.034576416491301</v>
      </c>
      <c r="I149" s="2">
        <v>50.110556464811701</v>
      </c>
      <c r="J149" s="2">
        <v>52.526817862987997</v>
      </c>
      <c r="K149" s="2">
        <v>52.469772426155401</v>
      </c>
      <c r="L149" s="2">
        <v>45.984712804925501</v>
      </c>
      <c r="M149" s="2">
        <v>56.456749279089699</v>
      </c>
      <c r="N149" s="2">
        <v>53.088348530901698</v>
      </c>
      <c r="O149" s="2">
        <v>42.9530356168654</v>
      </c>
      <c r="P149" s="2">
        <v>35.654025407216899</v>
      </c>
      <c r="Q149" s="2">
        <v>47.392958459979702</v>
      </c>
      <c r="R149" s="2">
        <v>46.873061335827202</v>
      </c>
      <c r="S149" s="2">
        <v>45.775983945132801</v>
      </c>
      <c r="T149" s="2">
        <v>45.6802158834073</v>
      </c>
      <c r="U149" s="2">
        <v>41.873969293118201</v>
      </c>
      <c r="V149" s="2">
        <v>44.453779908035202</v>
      </c>
      <c r="W149" s="2">
        <v>52.5401527550463</v>
      </c>
      <c r="X149" s="2">
        <v>45.457801418439701</v>
      </c>
      <c r="Y149" s="2">
        <v>46.001780843270197</v>
      </c>
      <c r="Z149" s="2">
        <v>-0.30763024560082602</v>
      </c>
      <c r="AA149" s="2">
        <f>MAX(120*16*Z149/SUM(Z:Z),0.75)</f>
        <v>0.75</v>
      </c>
      <c r="AB149" s="2">
        <f>AA149-F149</f>
        <v>-0.72</v>
      </c>
    </row>
    <row r="150" spans="1:28" hidden="1" x14ac:dyDescent="0.25">
      <c r="B150" s="1">
        <v>216</v>
      </c>
      <c r="C150" s="1" t="s">
        <v>188</v>
      </c>
      <c r="D150" s="1" t="s">
        <v>53</v>
      </c>
      <c r="E150" s="1">
        <v>30</v>
      </c>
      <c r="F150" s="1">
        <v>1.3</v>
      </c>
      <c r="G150" s="1">
        <v>2085</v>
      </c>
      <c r="H150" s="2">
        <v>29.733585858585801</v>
      </c>
      <c r="I150" s="2">
        <v>50.067676767676701</v>
      </c>
      <c r="J150" s="2">
        <v>50.716919191919096</v>
      </c>
      <c r="K150" s="2">
        <v>48.062373737373697</v>
      </c>
      <c r="L150" s="2">
        <v>42.823232323232297</v>
      </c>
      <c r="M150" s="2">
        <v>49.446717171717097</v>
      </c>
      <c r="N150" s="2">
        <v>47.2539141414141</v>
      </c>
      <c r="O150" s="2">
        <v>40.707070707070699</v>
      </c>
      <c r="P150" s="2">
        <v>30.504292929292902</v>
      </c>
      <c r="Q150" s="2">
        <v>44.958964646464601</v>
      </c>
      <c r="R150" s="2">
        <v>51.199999999999903</v>
      </c>
      <c r="S150" s="2">
        <v>50.057702020202001</v>
      </c>
      <c r="T150" s="2">
        <v>51.418055555555497</v>
      </c>
      <c r="U150" s="2">
        <v>47.617297979797897</v>
      </c>
      <c r="V150" s="2">
        <v>45.321464646464598</v>
      </c>
      <c r="W150" s="2">
        <v>60.1334595959596</v>
      </c>
      <c r="X150" s="2">
        <v>53.370833333333302</v>
      </c>
      <c r="Y150" s="2">
        <v>48.018308080807998</v>
      </c>
      <c r="Z150" s="2">
        <v>0.183668707983736</v>
      </c>
      <c r="AA150" s="2">
        <f>MAX(120*16*Z150/SUM(Z:Z),0.75)</f>
        <v>2.623327837687484</v>
      </c>
      <c r="AB150" s="2">
        <f>AA150-F150</f>
        <v>1.323327837687484</v>
      </c>
    </row>
    <row r="151" spans="1:28" hidden="1" x14ac:dyDescent="0.25">
      <c r="B151" s="1">
        <v>166</v>
      </c>
      <c r="C151" s="1" t="s">
        <v>201</v>
      </c>
      <c r="D151" s="1" t="s">
        <v>46</v>
      </c>
      <c r="E151" s="1">
        <v>24</v>
      </c>
      <c r="F151" s="1">
        <v>3.11</v>
      </c>
      <c r="G151" s="1">
        <v>2086</v>
      </c>
      <c r="H151" s="2">
        <v>24.217885243424799</v>
      </c>
      <c r="I151" s="2">
        <v>50.032419836593299</v>
      </c>
      <c r="J151" s="2">
        <v>57.0888044349918</v>
      </c>
      <c r="K151" s="2">
        <v>55.524400590402401</v>
      </c>
      <c r="L151" s="2">
        <v>56.324006601350398</v>
      </c>
      <c r="M151" s="2">
        <v>43.200870494984997</v>
      </c>
      <c r="N151" s="2">
        <v>42.014899526980599</v>
      </c>
      <c r="O151" s="2">
        <v>43.318416373208699</v>
      </c>
      <c r="P151" s="2">
        <v>59.166259893309103</v>
      </c>
      <c r="Q151" s="2">
        <v>51.300471857094699</v>
      </c>
      <c r="R151" s="2">
        <v>37.580233139244299</v>
      </c>
      <c r="S151" s="2">
        <v>38.764431737619503</v>
      </c>
      <c r="T151" s="2">
        <v>35.195716095440602</v>
      </c>
      <c r="U151" s="2">
        <v>44.274455795358101</v>
      </c>
      <c r="V151" s="2">
        <v>50.992120218960203</v>
      </c>
      <c r="W151" s="2">
        <v>48.690834815150502</v>
      </c>
      <c r="X151" s="2">
        <v>49.445236683983502</v>
      </c>
      <c r="Y151" s="2">
        <v>62.364474739374401</v>
      </c>
      <c r="Z151" s="2">
        <v>-0.55334505488803198</v>
      </c>
      <c r="AA151" s="2">
        <f>MAX(120*16*Z151/SUM(Z:Z),0.75)</f>
        <v>0.75</v>
      </c>
      <c r="AB151" s="2">
        <f>AA151-F151</f>
        <v>-2.36</v>
      </c>
    </row>
    <row r="152" spans="1:28" hidden="1" x14ac:dyDescent="0.25">
      <c r="B152" s="1">
        <v>65</v>
      </c>
      <c r="C152" s="1" t="s">
        <v>190</v>
      </c>
      <c r="D152" s="1" t="s">
        <v>53</v>
      </c>
      <c r="E152" s="1">
        <v>29</v>
      </c>
      <c r="F152" s="1">
        <v>1.71</v>
      </c>
      <c r="G152" s="1">
        <v>2085</v>
      </c>
      <c r="H152" s="2">
        <v>28.4870239298955</v>
      </c>
      <c r="I152" s="2">
        <v>50.028142905291503</v>
      </c>
      <c r="J152" s="2">
        <v>51.387596899224803</v>
      </c>
      <c r="K152" s="2">
        <v>47.158914728682099</v>
      </c>
      <c r="L152" s="2">
        <v>49.373609706774502</v>
      </c>
      <c r="M152" s="2">
        <v>48.174418604651102</v>
      </c>
      <c r="N152" s="2">
        <v>43.106504887091297</v>
      </c>
      <c r="O152" s="2">
        <v>42.424671385237602</v>
      </c>
      <c r="P152" s="2">
        <v>46.906471183013103</v>
      </c>
      <c r="Q152" s="2">
        <v>51.527131782945702</v>
      </c>
      <c r="R152" s="2">
        <v>47.069093360296598</v>
      </c>
      <c r="S152" s="2">
        <v>44.725648803505202</v>
      </c>
      <c r="T152" s="2">
        <v>50.862318840579697</v>
      </c>
      <c r="U152" s="2">
        <v>48.330131445904897</v>
      </c>
      <c r="V152" s="2">
        <v>48.437310414560102</v>
      </c>
      <c r="W152" s="2">
        <v>51.143916413885997</v>
      </c>
      <c r="X152" s="2">
        <v>45.852713178294501</v>
      </c>
      <c r="Y152" s="2">
        <v>47.950117964273602</v>
      </c>
      <c r="Z152" s="2">
        <v>-0.58038217753239396</v>
      </c>
      <c r="AA152" s="2">
        <f>MAX(120*16*Z152/SUM(Z:Z),0.75)</f>
        <v>0.75</v>
      </c>
      <c r="AB152" s="2">
        <f>AA152-F152</f>
        <v>-0.96</v>
      </c>
    </row>
    <row r="153" spans="1:28" hidden="1" x14ac:dyDescent="0.25">
      <c r="A153" s="1">
        <v>1</v>
      </c>
      <c r="B153" s="1">
        <v>113</v>
      </c>
      <c r="C153" s="1" t="s">
        <v>194</v>
      </c>
      <c r="D153" s="1" t="s">
        <v>43</v>
      </c>
      <c r="E153" s="1">
        <v>21</v>
      </c>
      <c r="F153" s="1">
        <v>1.01</v>
      </c>
      <c r="G153" s="1">
        <v>2086</v>
      </c>
      <c r="H153" s="2">
        <v>22.966545302840601</v>
      </c>
      <c r="I153" s="2">
        <v>49.830940190389498</v>
      </c>
      <c r="J153" s="2">
        <v>59.2459210376607</v>
      </c>
      <c r="K153" s="2">
        <v>60.116744415367599</v>
      </c>
      <c r="L153" s="2">
        <v>56.296089809231198</v>
      </c>
      <c r="M153" s="2">
        <v>46.905396897637097</v>
      </c>
      <c r="N153" s="2">
        <v>45.7736830128569</v>
      </c>
      <c r="O153" s="2">
        <v>41.2835589941972</v>
      </c>
      <c r="P153" s="2">
        <v>52.552622596427298</v>
      </c>
      <c r="Q153" s="2">
        <v>51.8983502104903</v>
      </c>
      <c r="R153" s="2">
        <v>34.274335343421697</v>
      </c>
      <c r="S153" s="2">
        <v>34.696328744263603</v>
      </c>
      <c r="T153" s="2">
        <v>34.262521333484997</v>
      </c>
      <c r="U153" s="2">
        <v>41.794804111199603</v>
      </c>
      <c r="V153" s="2">
        <v>47.2617741874312</v>
      </c>
      <c r="W153" s="2">
        <v>47.231213258997897</v>
      </c>
      <c r="X153" s="2">
        <v>47.511290628437003</v>
      </c>
      <c r="Y153" s="2">
        <v>60.8117229870671</v>
      </c>
      <c r="Z153" s="2">
        <v>-0.298196760247398</v>
      </c>
      <c r="AA153" s="2">
        <f>MAX(120*16*Z153/SUM(Z:Z),0.75)</f>
        <v>0.75</v>
      </c>
      <c r="AB153" s="2">
        <f>AA153-F153</f>
        <v>-0.26</v>
      </c>
    </row>
    <row r="154" spans="1:28" hidden="1" x14ac:dyDescent="0.25">
      <c r="B154" s="1">
        <v>63</v>
      </c>
      <c r="C154" s="1" t="s">
        <v>193</v>
      </c>
      <c r="D154" s="1" t="s">
        <v>43</v>
      </c>
      <c r="E154" s="1">
        <v>26</v>
      </c>
      <c r="F154" s="1">
        <v>1.23</v>
      </c>
      <c r="G154" s="1">
        <v>2086</v>
      </c>
      <c r="H154" s="2">
        <v>26.3638716356107</v>
      </c>
      <c r="I154" s="2">
        <v>49.698654244306397</v>
      </c>
      <c r="J154" s="2">
        <v>52.8844720496894</v>
      </c>
      <c r="K154" s="2">
        <v>55.080848861283599</v>
      </c>
      <c r="L154" s="2">
        <v>52.240683229813598</v>
      </c>
      <c r="M154" s="2">
        <v>45.688302277432697</v>
      </c>
      <c r="N154" s="2">
        <v>43.873706004140701</v>
      </c>
      <c r="O154" s="2">
        <v>42.270600414078601</v>
      </c>
      <c r="P154" s="2">
        <v>45.529813664596197</v>
      </c>
      <c r="Q154" s="2">
        <v>50.6826086956521</v>
      </c>
      <c r="R154" s="2">
        <v>42.849378881987498</v>
      </c>
      <c r="S154" s="2">
        <v>44.387267080745303</v>
      </c>
      <c r="T154" s="2">
        <v>42.8406832298136</v>
      </c>
      <c r="U154" s="2">
        <v>45.7182194616977</v>
      </c>
      <c r="V154" s="2">
        <v>47.061076604554799</v>
      </c>
      <c r="W154" s="2">
        <v>49.904554865424402</v>
      </c>
      <c r="X154" s="2">
        <v>45.166563146997902</v>
      </c>
      <c r="Y154" s="2">
        <v>56.199792960662499</v>
      </c>
      <c r="Z154" s="2">
        <v>-0.392393653562228</v>
      </c>
      <c r="AA154" s="2">
        <f>MAX(120*16*Z154/SUM(Z:Z),0.75)</f>
        <v>0.75</v>
      </c>
      <c r="AB154" s="2">
        <f>AA154-F154</f>
        <v>-0.48</v>
      </c>
    </row>
    <row r="155" spans="1:28" hidden="1" x14ac:dyDescent="0.25">
      <c r="A155" s="1">
        <v>1</v>
      </c>
      <c r="B155" s="1">
        <v>126</v>
      </c>
      <c r="C155" s="1" t="s">
        <v>195</v>
      </c>
      <c r="D155" s="1" t="s">
        <v>75</v>
      </c>
      <c r="E155" s="1">
        <v>21</v>
      </c>
      <c r="F155" s="1">
        <v>2.31</v>
      </c>
      <c r="G155" s="1">
        <v>2085</v>
      </c>
      <c r="H155" s="2">
        <v>22.9298245614035</v>
      </c>
      <c r="I155" s="2">
        <v>49.654520917678802</v>
      </c>
      <c r="J155" s="2">
        <v>59.354925775978401</v>
      </c>
      <c r="K155" s="2">
        <v>30.3981106612685</v>
      </c>
      <c r="L155" s="2">
        <v>48.497975708501997</v>
      </c>
      <c r="M155" s="2">
        <v>70.984480431848795</v>
      </c>
      <c r="N155" s="2">
        <v>68.503373819163201</v>
      </c>
      <c r="O155" s="2">
        <v>45.366396761133601</v>
      </c>
      <c r="P155" s="2">
        <v>33.417678812415602</v>
      </c>
      <c r="Q155" s="2">
        <v>39.926450742240199</v>
      </c>
      <c r="R155" s="2">
        <v>45.879217273954097</v>
      </c>
      <c r="S155" s="2">
        <v>46.790823211875797</v>
      </c>
      <c r="T155" s="2">
        <v>46.156545209176699</v>
      </c>
      <c r="U155" s="2">
        <v>43.721322537112002</v>
      </c>
      <c r="V155" s="2">
        <v>42.443319838056603</v>
      </c>
      <c r="W155" s="2">
        <v>56.973009446693602</v>
      </c>
      <c r="X155" s="2">
        <v>53.819838056680098</v>
      </c>
      <c r="Y155" s="2">
        <v>42.740215924426401</v>
      </c>
      <c r="Z155" s="2">
        <v>-0.83253767440651805</v>
      </c>
      <c r="AA155" s="2">
        <f>MAX(120*16*Z155/SUM(Z:Z),0.75)</f>
        <v>0.75</v>
      </c>
      <c r="AB155" s="2">
        <f>AA155-F155</f>
        <v>-1.56</v>
      </c>
    </row>
    <row r="156" spans="1:28" hidden="1" x14ac:dyDescent="0.25">
      <c r="A156" s="1">
        <v>1</v>
      </c>
      <c r="B156" s="1">
        <v>47</v>
      </c>
      <c r="C156" s="1" t="s">
        <v>199</v>
      </c>
      <c r="D156" s="1" t="s">
        <v>53</v>
      </c>
      <c r="E156" s="1">
        <v>24</v>
      </c>
      <c r="F156" s="1">
        <v>2.83</v>
      </c>
      <c r="G156" s="1">
        <v>2085</v>
      </c>
      <c r="H156" s="2">
        <v>24.316879432624098</v>
      </c>
      <c r="I156" s="2">
        <v>49.621118991331699</v>
      </c>
      <c r="J156" s="2">
        <v>56.2084475965327</v>
      </c>
      <c r="K156" s="2">
        <v>50.285374310480698</v>
      </c>
      <c r="L156" s="2">
        <v>45.737304964539</v>
      </c>
      <c r="M156" s="2">
        <v>57.908841607565002</v>
      </c>
      <c r="N156" s="2">
        <v>58.340362490149701</v>
      </c>
      <c r="O156" s="2">
        <v>41.062474389282897</v>
      </c>
      <c r="P156" s="2">
        <v>34.625437352245797</v>
      </c>
      <c r="Q156" s="2">
        <v>47.347895981087397</v>
      </c>
      <c r="R156" s="2">
        <v>49.909692671394701</v>
      </c>
      <c r="S156" s="2">
        <v>48.464444444444403</v>
      </c>
      <c r="T156" s="2">
        <v>53.5406776989755</v>
      </c>
      <c r="U156" s="2">
        <v>42.724460204885702</v>
      </c>
      <c r="V156" s="2">
        <v>41.596706067769901</v>
      </c>
      <c r="W156" s="2">
        <v>49.410843183609103</v>
      </c>
      <c r="X156" s="2">
        <v>42.144113475177299</v>
      </c>
      <c r="Y156" s="2">
        <v>40.498833727344298</v>
      </c>
      <c r="Z156" s="2">
        <v>-6.1433504334690303E-2</v>
      </c>
      <c r="AA156" s="2">
        <f>MAX(120*16*Z156/SUM(Z:Z),0.75)</f>
        <v>0.75</v>
      </c>
      <c r="AB156" s="2">
        <f>AA156-F156</f>
        <v>-2.08</v>
      </c>
    </row>
    <row r="157" spans="1:28" x14ac:dyDescent="0.25">
      <c r="B157" s="1">
        <v>180</v>
      </c>
      <c r="C157" s="1" t="s">
        <v>198</v>
      </c>
      <c r="D157" s="1" t="s">
        <v>43</v>
      </c>
      <c r="E157" s="1">
        <v>27</v>
      </c>
      <c r="F157" s="1">
        <v>1.38</v>
      </c>
      <c r="G157" s="1">
        <v>2086</v>
      </c>
      <c r="H157" s="2">
        <v>26.3923232323232</v>
      </c>
      <c r="I157" s="2">
        <v>49.579393939393903</v>
      </c>
      <c r="J157" s="2">
        <v>53.517979797979798</v>
      </c>
      <c r="K157" s="2">
        <v>62.397373737373698</v>
      </c>
      <c r="L157" s="2">
        <v>54.413535353535302</v>
      </c>
      <c r="M157" s="2">
        <v>40.700404040404003</v>
      </c>
      <c r="N157" s="2">
        <v>38.225858585858496</v>
      </c>
      <c r="O157" s="2">
        <v>40.571515151515101</v>
      </c>
      <c r="P157" s="2">
        <v>54.329090909090901</v>
      </c>
      <c r="Q157" s="2">
        <v>49.489494949494897</v>
      </c>
      <c r="R157" s="2">
        <v>31.66</v>
      </c>
      <c r="S157" s="2">
        <v>31.453333333333301</v>
      </c>
      <c r="T157" s="2">
        <v>32.109696969696898</v>
      </c>
      <c r="U157" s="2">
        <v>45.690101010101003</v>
      </c>
      <c r="V157" s="2">
        <v>49.921010101010097</v>
      </c>
      <c r="W157" s="2">
        <v>49.209898989898903</v>
      </c>
      <c r="X157" s="2">
        <v>49.699191919191897</v>
      </c>
      <c r="Y157" s="2">
        <v>64.0822222222222</v>
      </c>
      <c r="Z157" s="2">
        <v>-0.18714160488425499</v>
      </c>
      <c r="AA157" s="2">
        <f>MAX(120*16*Z157/SUM(Z:Z),0.75)</f>
        <v>0.75</v>
      </c>
      <c r="AB157" s="2">
        <f>AA157-F157</f>
        <v>-0.62999999999999989</v>
      </c>
    </row>
    <row r="158" spans="1:28" hidden="1" x14ac:dyDescent="0.25">
      <c r="B158" s="1">
        <v>220</v>
      </c>
      <c r="C158" s="1" t="s">
        <v>196</v>
      </c>
      <c r="D158" s="1" t="s">
        <v>43</v>
      </c>
      <c r="E158" s="1">
        <v>29</v>
      </c>
      <c r="F158" s="1">
        <v>0.92</v>
      </c>
      <c r="G158" s="1">
        <v>2085</v>
      </c>
      <c r="H158" s="2">
        <v>28.909024781365201</v>
      </c>
      <c r="I158" s="2">
        <v>49.375307907222798</v>
      </c>
      <c r="J158" s="2">
        <v>50.2776703202235</v>
      </c>
      <c r="K158" s="2">
        <v>59.913653722164298</v>
      </c>
      <c r="L158" s="2">
        <v>52.912827125592997</v>
      </c>
      <c r="M158" s="2">
        <v>38.658698275719502</v>
      </c>
      <c r="N158" s="2">
        <v>34.884425267403898</v>
      </c>
      <c r="O158" s="2">
        <v>43.248276546148801</v>
      </c>
      <c r="P158" s="2">
        <v>48.624592901188599</v>
      </c>
      <c r="Q158" s="2">
        <v>50.601927623204197</v>
      </c>
      <c r="R158" s="2">
        <v>36.7699581742134</v>
      </c>
      <c r="S158" s="2">
        <v>37.459587693630198</v>
      </c>
      <c r="T158" s="2">
        <v>34.796293540974297</v>
      </c>
      <c r="U158" s="2">
        <v>45.8788870703764</v>
      </c>
      <c r="V158" s="2">
        <v>51.711369009241302</v>
      </c>
      <c r="W158" s="2">
        <v>49.695944717221302</v>
      </c>
      <c r="X158" s="2">
        <v>47.619798641075199</v>
      </c>
      <c r="Y158" s="2">
        <v>62.688406156491197</v>
      </c>
      <c r="Z158" s="2">
        <v>-0.36470279443065101</v>
      </c>
      <c r="AA158" s="2">
        <f>MAX(120*16*Z158/SUM(Z:Z),0.75)</f>
        <v>0.75</v>
      </c>
      <c r="AB158" s="2">
        <f>AA158-F158</f>
        <v>-0.17000000000000004</v>
      </c>
    </row>
    <row r="159" spans="1:28" hidden="1" x14ac:dyDescent="0.25">
      <c r="A159" s="1">
        <v>1</v>
      </c>
      <c r="B159" s="1">
        <v>38</v>
      </c>
      <c r="C159" s="1" t="s">
        <v>200</v>
      </c>
      <c r="D159" s="1" t="s">
        <v>37</v>
      </c>
      <c r="E159" s="1">
        <v>20</v>
      </c>
      <c r="F159" s="1">
        <v>1.79</v>
      </c>
      <c r="G159" s="1">
        <v>2087</v>
      </c>
      <c r="H159" s="2">
        <v>22.331610990947599</v>
      </c>
      <c r="I159" s="2">
        <v>49.373387807417998</v>
      </c>
      <c r="J159" s="2">
        <v>60.652887927581503</v>
      </c>
      <c r="K159" s="2">
        <v>41.275614836177198</v>
      </c>
      <c r="L159" s="2">
        <v>47.079628294480401</v>
      </c>
      <c r="M159" s="2">
        <v>63.8250020027237</v>
      </c>
      <c r="N159" s="2">
        <v>62.843987823439797</v>
      </c>
      <c r="O159" s="2">
        <v>40.451534086357398</v>
      </c>
      <c r="P159" s="2">
        <v>32.9287030361291</v>
      </c>
      <c r="Q159" s="2">
        <v>48.135143795561902</v>
      </c>
      <c r="R159" s="2">
        <v>52.089361531682997</v>
      </c>
      <c r="S159" s="2">
        <v>52.734438836818001</v>
      </c>
      <c r="T159" s="2">
        <v>52.601938636545697</v>
      </c>
      <c r="U159" s="2">
        <v>41.010774653528799</v>
      </c>
      <c r="V159" s="2">
        <v>40.570856364655903</v>
      </c>
      <c r="W159" s="2">
        <v>53.834575022029902</v>
      </c>
      <c r="X159" s="2">
        <v>47.308659777297102</v>
      </c>
      <c r="Y159" s="2">
        <v>44.0442601938636</v>
      </c>
      <c r="Z159" s="2">
        <v>-0.55322262746863105</v>
      </c>
      <c r="AA159" s="2">
        <f>MAX(120*16*Z159/SUM(Z:Z),0.75)</f>
        <v>0.75</v>
      </c>
      <c r="AB159" s="2">
        <f>AA159-F159</f>
        <v>-1.04</v>
      </c>
    </row>
    <row r="160" spans="1:28" hidden="1" x14ac:dyDescent="0.25">
      <c r="A160" s="1">
        <v>1</v>
      </c>
      <c r="B160" s="1">
        <v>40</v>
      </c>
      <c r="C160" s="1" t="s">
        <v>207</v>
      </c>
      <c r="D160" s="1" t="s">
        <v>37</v>
      </c>
      <c r="E160" s="1">
        <v>24</v>
      </c>
      <c r="F160" s="1">
        <v>1.53</v>
      </c>
      <c r="G160" s="1">
        <v>2086</v>
      </c>
      <c r="H160" s="2">
        <v>24.2610564500099</v>
      </c>
      <c r="I160" s="2">
        <v>49.292772311667598</v>
      </c>
      <c r="J160" s="2">
        <v>56.361347147684299</v>
      </c>
      <c r="K160" s="2">
        <v>42.7256758099781</v>
      </c>
      <c r="L160" s="2">
        <v>46.266721327767797</v>
      </c>
      <c r="M160" s="2">
        <v>59.5530585370701</v>
      </c>
      <c r="N160" s="2">
        <v>60.427325581395301</v>
      </c>
      <c r="O160" s="2">
        <v>42.957240111309801</v>
      </c>
      <c r="P160" s="2">
        <v>31.770187338501199</v>
      </c>
      <c r="Q160" s="2">
        <v>48.9510286225402</v>
      </c>
      <c r="R160" s="2">
        <v>49.950320512820497</v>
      </c>
      <c r="S160" s="2">
        <v>45.495838302524298</v>
      </c>
      <c r="T160" s="2">
        <v>51.508161896243202</v>
      </c>
      <c r="U160" s="2">
        <v>45.466010733452599</v>
      </c>
      <c r="V160" s="2">
        <v>41.633609123434702</v>
      </c>
      <c r="W160" s="2">
        <v>52.404318226992601</v>
      </c>
      <c r="X160" s="2">
        <v>44.036001788908699</v>
      </c>
      <c r="Y160" s="2">
        <v>42.216607036374398</v>
      </c>
      <c r="Z160" s="2">
        <v>-0.41703887772777398</v>
      </c>
      <c r="AA160" s="2">
        <f>MAX(120*16*Z160/SUM(Z:Z),0.75)</f>
        <v>0.75</v>
      </c>
      <c r="AB160" s="2">
        <f>AA160-F160</f>
        <v>-0.78</v>
      </c>
    </row>
    <row r="161" spans="1:28" hidden="1" x14ac:dyDescent="0.25">
      <c r="B161" s="1">
        <v>152</v>
      </c>
      <c r="C161" s="1" t="s">
        <v>197</v>
      </c>
      <c r="D161" s="1" t="s">
        <v>46</v>
      </c>
      <c r="E161" s="1">
        <v>23</v>
      </c>
      <c r="F161" s="1">
        <v>4.7699999999999996</v>
      </c>
      <c r="G161" s="1">
        <v>2086</v>
      </c>
      <c r="H161" s="2">
        <v>23.7170695970695</v>
      </c>
      <c r="I161" s="2">
        <v>49.266316064887398</v>
      </c>
      <c r="J161" s="2">
        <v>57.033479853479797</v>
      </c>
      <c r="K161" s="2">
        <v>57.576316064887401</v>
      </c>
      <c r="L161" s="2">
        <v>56.698299319727802</v>
      </c>
      <c r="M161" s="2">
        <v>47.881831501831499</v>
      </c>
      <c r="N161" s="2">
        <v>45.602061747775998</v>
      </c>
      <c r="O161" s="2">
        <v>41.865850340135999</v>
      </c>
      <c r="P161" s="2">
        <v>51.832019884876999</v>
      </c>
      <c r="Q161" s="2">
        <v>51.1630769230769</v>
      </c>
      <c r="R161" s="2">
        <v>34.568414442700103</v>
      </c>
      <c r="S161" s="2">
        <v>33.105238095238001</v>
      </c>
      <c r="T161" s="2">
        <v>32.819440083725802</v>
      </c>
      <c r="U161" s="2">
        <v>43.987017268445797</v>
      </c>
      <c r="V161" s="2">
        <v>46.396645735217099</v>
      </c>
      <c r="W161" s="2">
        <v>46.417158555729898</v>
      </c>
      <c r="X161" s="2">
        <v>46.691758241758201</v>
      </c>
      <c r="Y161" s="2">
        <v>57.934290947148</v>
      </c>
      <c r="Z161" s="2">
        <v>-0.45031749436387197</v>
      </c>
      <c r="AA161" s="2">
        <f>MAX(120*16*Z161/SUM(Z:Z),0.75)</f>
        <v>0.75</v>
      </c>
      <c r="AB161" s="2">
        <f>AA161-F161</f>
        <v>-4.0199999999999996</v>
      </c>
    </row>
    <row r="162" spans="1:28" hidden="1" x14ac:dyDescent="0.25">
      <c r="B162" s="1">
        <v>227</v>
      </c>
      <c r="C162" s="1" t="s">
        <v>206</v>
      </c>
      <c r="D162" s="1" t="s">
        <v>46</v>
      </c>
      <c r="E162" s="1">
        <v>27</v>
      </c>
      <c r="F162" s="1">
        <v>1.1599999999999999</v>
      </c>
      <c r="G162" s="1">
        <v>2086</v>
      </c>
      <c r="H162" s="2">
        <v>26.9691570881226</v>
      </c>
      <c r="I162" s="2">
        <v>49.1250957854406</v>
      </c>
      <c r="J162" s="2">
        <v>51.690293742017801</v>
      </c>
      <c r="K162" s="2">
        <v>54.482758620689602</v>
      </c>
      <c r="L162" s="2">
        <v>54.376564495529998</v>
      </c>
      <c r="M162" s="2">
        <v>38.353384418901598</v>
      </c>
      <c r="N162" s="2">
        <v>36.472605363984599</v>
      </c>
      <c r="O162" s="2">
        <v>45.7119412515964</v>
      </c>
      <c r="P162" s="2">
        <v>54.602873563218303</v>
      </c>
      <c r="Q162" s="2">
        <v>48.661047254150702</v>
      </c>
      <c r="R162" s="2">
        <v>42.281992337164702</v>
      </c>
      <c r="S162" s="2">
        <v>43.386781609195403</v>
      </c>
      <c r="T162" s="2">
        <v>43.506832694763702</v>
      </c>
      <c r="U162" s="2">
        <v>42.5052362707535</v>
      </c>
      <c r="V162" s="2">
        <v>51.929821200510801</v>
      </c>
      <c r="W162" s="2">
        <v>49.495530012771297</v>
      </c>
      <c r="X162" s="2">
        <v>49.504342273307699</v>
      </c>
      <c r="Y162" s="2">
        <v>63.121902937420103</v>
      </c>
      <c r="Z162" s="2">
        <v>-0.51576418200104301</v>
      </c>
      <c r="AA162" s="2">
        <f>MAX(120*16*Z162/SUM(Z:Z),0.75)</f>
        <v>0.75</v>
      </c>
      <c r="AB162" s="2">
        <f>AA162-F162</f>
        <v>-0.40999999999999992</v>
      </c>
    </row>
    <row r="163" spans="1:28" hidden="1" x14ac:dyDescent="0.25">
      <c r="B163" s="1">
        <v>158</v>
      </c>
      <c r="C163" s="1" t="s">
        <v>202</v>
      </c>
      <c r="D163" s="1" t="s">
        <v>55</v>
      </c>
      <c r="E163" s="1">
        <v>24</v>
      </c>
      <c r="F163" s="1">
        <v>2.2799999999999998</v>
      </c>
      <c r="G163" s="1">
        <v>2086</v>
      </c>
      <c r="H163" s="2">
        <v>23.9091995221027</v>
      </c>
      <c r="I163" s="2">
        <v>49.109010011123402</v>
      </c>
      <c r="J163" s="2">
        <v>56.726403823178003</v>
      </c>
      <c r="K163" s="2">
        <v>47.1090237438031</v>
      </c>
      <c r="L163" s="2">
        <v>46.044603743528398</v>
      </c>
      <c r="M163" s="2">
        <v>56.7838888202254</v>
      </c>
      <c r="N163" s="2">
        <v>55.484804789958602</v>
      </c>
      <c r="O163" s="2">
        <v>41.805188206374702</v>
      </c>
      <c r="P163" s="2">
        <v>35.088740575948499</v>
      </c>
      <c r="Q163" s="2">
        <v>48.186805641384801</v>
      </c>
      <c r="R163" s="2">
        <v>41.689215726664699</v>
      </c>
      <c r="S163" s="2">
        <v>36.936541287301303</v>
      </c>
      <c r="T163" s="2">
        <v>39.603249152007002</v>
      </c>
      <c r="U163" s="2">
        <v>46.136338043642397</v>
      </c>
      <c r="V163" s="2">
        <v>43.991403342534198</v>
      </c>
      <c r="W163" s="2">
        <v>54.859075241351803</v>
      </c>
      <c r="X163" s="2">
        <v>48.498496271577402</v>
      </c>
      <c r="Y163" s="2">
        <v>48.757439679204602</v>
      </c>
      <c r="Z163" s="2">
        <v>-0.43421868820485998</v>
      </c>
      <c r="AA163" s="2">
        <f>MAX(120*16*Z163/SUM(Z:Z),0.75)</f>
        <v>0.75</v>
      </c>
      <c r="AB163" s="2">
        <f>AA163-F163</f>
        <v>-1.5299999999999998</v>
      </c>
    </row>
    <row r="164" spans="1:28" hidden="1" x14ac:dyDescent="0.25">
      <c r="A164" s="1">
        <v>1</v>
      </c>
      <c r="B164" s="1">
        <v>235</v>
      </c>
      <c r="C164" s="1" t="s">
        <v>205</v>
      </c>
      <c r="D164" s="1" t="s">
        <v>46</v>
      </c>
      <c r="E164" s="1">
        <v>30</v>
      </c>
      <c r="F164" s="1">
        <v>0.75</v>
      </c>
      <c r="G164" s="1">
        <v>2086</v>
      </c>
      <c r="H164" s="2">
        <v>29.719648692810399</v>
      </c>
      <c r="I164" s="2">
        <v>49.082516339869201</v>
      </c>
      <c r="J164" s="2">
        <v>49.738276143790799</v>
      </c>
      <c r="K164" s="2">
        <v>49.4959967320261</v>
      </c>
      <c r="L164" s="2">
        <v>44.9166666666666</v>
      </c>
      <c r="M164" s="2">
        <v>46.407066993463999</v>
      </c>
      <c r="N164" s="2">
        <v>39.803186274509798</v>
      </c>
      <c r="O164" s="2">
        <v>40.621977124182997</v>
      </c>
      <c r="P164" s="2">
        <v>37.563562091503201</v>
      </c>
      <c r="Q164" s="2">
        <v>47.806127450980298</v>
      </c>
      <c r="R164" s="2">
        <v>44.223897058823503</v>
      </c>
      <c r="S164" s="2">
        <v>41.058700980392103</v>
      </c>
      <c r="T164" s="2">
        <v>44.395955882352901</v>
      </c>
      <c r="U164" s="2">
        <v>50.638112745097999</v>
      </c>
      <c r="V164" s="2">
        <v>47.039705882352898</v>
      </c>
      <c r="W164" s="2">
        <v>56.856985294117599</v>
      </c>
      <c r="X164" s="2">
        <v>50.950040849673201</v>
      </c>
      <c r="Y164" s="2">
        <v>51.0109477124183</v>
      </c>
      <c r="Z164" s="2">
        <v>8.5015737145273204E-2</v>
      </c>
      <c r="AA164" s="2">
        <f>MAX(120*16*Z164/SUM(Z:Z),0.75)</f>
        <v>1.2142740717404408</v>
      </c>
      <c r="AB164" s="2">
        <f>AA164-F164</f>
        <v>0.46427407174044077</v>
      </c>
    </row>
    <row r="165" spans="1:28" hidden="1" x14ac:dyDescent="0.25">
      <c r="B165" s="1">
        <v>224</v>
      </c>
      <c r="C165" s="1" t="s">
        <v>210</v>
      </c>
      <c r="D165" s="1" t="s">
        <v>43</v>
      </c>
      <c r="E165" s="1">
        <v>29</v>
      </c>
      <c r="F165" s="1">
        <v>0.75</v>
      </c>
      <c r="G165" s="1">
        <v>2086</v>
      </c>
      <c r="H165" s="2">
        <v>27.902733023033701</v>
      </c>
      <c r="I165" s="2">
        <v>48.884532760472602</v>
      </c>
      <c r="J165" s="2">
        <v>50.750566893424001</v>
      </c>
      <c r="K165" s="2">
        <v>58.6301467955603</v>
      </c>
      <c r="L165" s="2">
        <v>53.7275331185105</v>
      </c>
      <c r="M165" s="2">
        <v>43.956438715837201</v>
      </c>
      <c r="N165" s="2">
        <v>38.479591836734599</v>
      </c>
      <c r="O165" s="2">
        <v>42.253490870032202</v>
      </c>
      <c r="P165" s="2">
        <v>49.325635517364802</v>
      </c>
      <c r="Q165" s="2">
        <v>53.1367704976727</v>
      </c>
      <c r="R165" s="2">
        <v>35.978935433822599</v>
      </c>
      <c r="S165" s="2">
        <v>34.833273660341298</v>
      </c>
      <c r="T165" s="2">
        <v>34.717746747821899</v>
      </c>
      <c r="U165" s="2">
        <v>45.694235588972397</v>
      </c>
      <c r="V165" s="2">
        <v>48.088196682181596</v>
      </c>
      <c r="W165" s="2">
        <v>47.766618928272997</v>
      </c>
      <c r="X165" s="2">
        <v>45.774794128177497</v>
      </c>
      <c r="Y165" s="2">
        <v>55.068922305764403</v>
      </c>
      <c r="Z165" s="2">
        <v>-0.37632893510902599</v>
      </c>
      <c r="AA165" s="2">
        <f>MAX(120*16*Z165/SUM(Z:Z),0.75)</f>
        <v>0.75</v>
      </c>
      <c r="AB165" s="2">
        <f>AA165-F165</f>
        <v>0</v>
      </c>
    </row>
    <row r="166" spans="1:28" x14ac:dyDescent="0.25">
      <c r="B166" s="1">
        <v>49</v>
      </c>
      <c r="C166" s="1" t="s">
        <v>211</v>
      </c>
      <c r="D166" s="1" t="s">
        <v>55</v>
      </c>
      <c r="E166" s="1">
        <v>23</v>
      </c>
      <c r="F166" s="1">
        <v>3.61</v>
      </c>
      <c r="G166" s="1">
        <v>2086</v>
      </c>
      <c r="H166" s="2">
        <v>23.398585178752299</v>
      </c>
      <c r="I166" s="2">
        <v>48.808687943262399</v>
      </c>
      <c r="J166" s="2">
        <v>57.713077145751903</v>
      </c>
      <c r="K166" s="2">
        <v>54.0721522651613</v>
      </c>
      <c r="L166" s="2">
        <v>44.282370820668604</v>
      </c>
      <c r="M166" s="2">
        <v>51.770748299319699</v>
      </c>
      <c r="N166" s="2">
        <v>52.173831234621503</v>
      </c>
      <c r="O166" s="2">
        <v>39.851979302359197</v>
      </c>
      <c r="P166" s="2">
        <v>39.555974091764298</v>
      </c>
      <c r="Q166" s="2">
        <v>46.610489940657096</v>
      </c>
      <c r="R166" s="2">
        <v>48.183351425676598</v>
      </c>
      <c r="S166" s="2">
        <v>46.921446663771803</v>
      </c>
      <c r="T166" s="2">
        <v>51.209614271240397</v>
      </c>
      <c r="U166" s="2">
        <v>41.962024171370601</v>
      </c>
      <c r="V166" s="2">
        <v>42.956104356636203</v>
      </c>
      <c r="W166" s="2">
        <v>50.008633666232399</v>
      </c>
      <c r="X166" s="2">
        <v>44.759133014908002</v>
      </c>
      <c r="Y166" s="2">
        <v>46.149424663482399</v>
      </c>
      <c r="Z166" s="2">
        <v>-0.34749004571512698</v>
      </c>
      <c r="AA166" s="2">
        <f>MAX(120*16*Z166/SUM(Z:Z),0.75)</f>
        <v>0.75</v>
      </c>
      <c r="AB166" s="2">
        <f>AA166-F166</f>
        <v>-2.86</v>
      </c>
    </row>
    <row r="167" spans="1:28" hidden="1" x14ac:dyDescent="0.25">
      <c r="B167" s="1">
        <v>52</v>
      </c>
      <c r="C167" s="1" t="s">
        <v>204</v>
      </c>
      <c r="D167" s="1" t="s">
        <v>41</v>
      </c>
      <c r="E167" s="1">
        <v>23</v>
      </c>
      <c r="F167" s="1">
        <v>0.75</v>
      </c>
      <c r="G167" s="1">
        <v>2086</v>
      </c>
      <c r="H167" s="2">
        <v>23.782438032684301</v>
      </c>
      <c r="I167" s="2">
        <v>48.8078087940156</v>
      </c>
      <c r="J167" s="2">
        <v>56.6385070503297</v>
      </c>
      <c r="K167" s="2">
        <v>42.804008653269698</v>
      </c>
      <c r="L167" s="2">
        <v>46.091349336669502</v>
      </c>
      <c r="M167" s="2">
        <v>59.8811009461255</v>
      </c>
      <c r="N167" s="2">
        <v>58.547293246800599</v>
      </c>
      <c r="O167" s="2">
        <v>41.394344097792299</v>
      </c>
      <c r="P167" s="2">
        <v>35.504282325957199</v>
      </c>
      <c r="Q167" s="2">
        <v>46.489722938984002</v>
      </c>
      <c r="R167" s="2">
        <v>48.280256470404197</v>
      </c>
      <c r="S167" s="2">
        <v>45.3413454270597</v>
      </c>
      <c r="T167" s="2">
        <v>50.896395339744998</v>
      </c>
      <c r="U167" s="2">
        <v>42.873902051241899</v>
      </c>
      <c r="V167" s="2">
        <v>44.106112023353397</v>
      </c>
      <c r="W167" s="2">
        <v>52.072015012901701</v>
      </c>
      <c r="X167" s="2">
        <v>44.603758438241101</v>
      </c>
      <c r="Y167" s="2">
        <v>42.802450022154403</v>
      </c>
      <c r="Z167" s="2">
        <v>-0.48002214521751302</v>
      </c>
      <c r="AA167" s="2">
        <f>MAX(120*16*Z167/SUM(Z:Z),0.75)</f>
        <v>0.75</v>
      </c>
      <c r="AB167" s="2">
        <f>AA167-F167</f>
        <v>0</v>
      </c>
    </row>
    <row r="168" spans="1:28" hidden="1" x14ac:dyDescent="0.25">
      <c r="A168" s="1">
        <v>1</v>
      </c>
      <c r="B168" s="1">
        <v>147</v>
      </c>
      <c r="C168" s="1" t="s">
        <v>208</v>
      </c>
      <c r="D168" s="1" t="s">
        <v>55</v>
      </c>
      <c r="E168" s="1">
        <v>22</v>
      </c>
      <c r="F168" s="1">
        <v>1.53</v>
      </c>
      <c r="G168" s="1">
        <v>2085</v>
      </c>
      <c r="H168" s="2">
        <v>23.641902899967398</v>
      </c>
      <c r="I168" s="2">
        <v>48.7487781036168</v>
      </c>
      <c r="J168" s="2">
        <v>56.871619420006503</v>
      </c>
      <c r="K168" s="2">
        <v>56.186705767350901</v>
      </c>
      <c r="L168" s="2">
        <v>53.819811013359299</v>
      </c>
      <c r="M168" s="2">
        <v>44.9380905832518</v>
      </c>
      <c r="N168" s="2">
        <v>43.341805148256697</v>
      </c>
      <c r="O168" s="2">
        <v>38.947865754317299</v>
      </c>
      <c r="P168" s="2">
        <v>45.645812968393599</v>
      </c>
      <c r="Q168" s="2">
        <v>49.896383186705698</v>
      </c>
      <c r="R168" s="2">
        <v>32.585206907787502</v>
      </c>
      <c r="S168" s="2">
        <v>31.639947865754301</v>
      </c>
      <c r="T168" s="2">
        <v>34.019876181166502</v>
      </c>
      <c r="U168" s="2">
        <v>46.105246008471802</v>
      </c>
      <c r="V168" s="2">
        <v>49.729879439556797</v>
      </c>
      <c r="W168" s="2">
        <v>48.317693059628503</v>
      </c>
      <c r="X168" s="2">
        <v>46.215705441511801</v>
      </c>
      <c r="Y168" s="2">
        <v>62.834799608993102</v>
      </c>
      <c r="Z168" s="2">
        <v>-0.29406911162884902</v>
      </c>
      <c r="AA168" s="2">
        <f>MAX(120*16*Z168/SUM(Z:Z),0.75)</f>
        <v>0.75</v>
      </c>
      <c r="AB168" s="2">
        <f>AA168-F168</f>
        <v>-0.78</v>
      </c>
    </row>
    <row r="169" spans="1:28" hidden="1" x14ac:dyDescent="0.25">
      <c r="B169" s="1">
        <v>211</v>
      </c>
      <c r="C169" s="1" t="s">
        <v>203</v>
      </c>
      <c r="D169" s="1" t="s">
        <v>43</v>
      </c>
      <c r="E169" s="1">
        <v>29</v>
      </c>
      <c r="F169" s="1">
        <v>0.75</v>
      </c>
      <c r="G169" s="1">
        <v>2085</v>
      </c>
      <c r="H169" s="2">
        <v>28.2030303030303</v>
      </c>
      <c r="I169" s="2">
        <v>48.539393939393896</v>
      </c>
      <c r="J169" s="2">
        <v>50.4151515151515</v>
      </c>
      <c r="K169" s="2">
        <v>55.648484848484799</v>
      </c>
      <c r="L169" s="2">
        <v>53.048484848484797</v>
      </c>
      <c r="M169" s="2">
        <v>42.209090909090897</v>
      </c>
      <c r="N169" s="2">
        <v>38.884848484848398</v>
      </c>
      <c r="O169" s="2">
        <v>42.478787878787799</v>
      </c>
      <c r="P169" s="2">
        <v>50.857575757575702</v>
      </c>
      <c r="Q169" s="2">
        <v>52.724242424242398</v>
      </c>
      <c r="R169" s="2">
        <v>43.321212121212099</v>
      </c>
      <c r="S169" s="2">
        <v>45.066666666666599</v>
      </c>
      <c r="T169" s="2">
        <v>45.363636363636303</v>
      </c>
      <c r="U169" s="2">
        <v>43.784848484848403</v>
      </c>
      <c r="V169" s="2">
        <v>47.045454545454497</v>
      </c>
      <c r="W169" s="2">
        <v>48.396969696969698</v>
      </c>
      <c r="X169" s="2">
        <v>46.006060606060601</v>
      </c>
      <c r="Y169" s="2">
        <v>51.309090909090898</v>
      </c>
      <c r="Z169" s="2">
        <v>-0.49519535536310899</v>
      </c>
      <c r="AA169" s="2">
        <f>MAX(120*16*Z169/SUM(Z:Z),0.75)</f>
        <v>0.75</v>
      </c>
      <c r="AB169" s="2">
        <f>AA169-F169</f>
        <v>0</v>
      </c>
    </row>
    <row r="170" spans="1:28" hidden="1" x14ac:dyDescent="0.25">
      <c r="B170" s="1">
        <v>225</v>
      </c>
      <c r="C170" s="1" t="s">
        <v>213</v>
      </c>
      <c r="D170" s="1" t="s">
        <v>41</v>
      </c>
      <c r="E170" s="1">
        <v>24</v>
      </c>
      <c r="F170" s="1">
        <v>0.75</v>
      </c>
      <c r="G170" s="1">
        <v>2085</v>
      </c>
      <c r="H170" s="2">
        <v>25.043630569054201</v>
      </c>
      <c r="I170" s="2">
        <v>48.441836882514799</v>
      </c>
      <c r="J170" s="2">
        <v>54.242002818274003</v>
      </c>
      <c r="K170" s="2">
        <v>38.089881869542801</v>
      </c>
      <c r="L170" s="2">
        <v>47.153424729695899</v>
      </c>
      <c r="M170" s="2">
        <v>62.461696495594801</v>
      </c>
      <c r="N170" s="2">
        <v>60.308192748870702</v>
      </c>
      <c r="O170" s="2">
        <v>43.8089763344</v>
      </c>
      <c r="P170" s="2">
        <v>39.065268065268</v>
      </c>
      <c r="Q170" s="2">
        <v>49.989372209711199</v>
      </c>
      <c r="R170" s="2">
        <v>52.4345146379044</v>
      </c>
      <c r="S170" s="2">
        <v>57.011470638589202</v>
      </c>
      <c r="T170" s="2">
        <v>54.190852462038897</v>
      </c>
      <c r="U170" s="2">
        <v>41.048450607772601</v>
      </c>
      <c r="V170" s="2">
        <v>41.3779252762303</v>
      </c>
      <c r="W170" s="2">
        <v>50.960873401551297</v>
      </c>
      <c r="X170" s="2">
        <v>45.252564761039302</v>
      </c>
      <c r="Y170" s="2">
        <v>40.497372683813303</v>
      </c>
      <c r="Z170" s="2">
        <v>-0.44715286477909499</v>
      </c>
      <c r="AA170" s="2">
        <f>MAX(120*16*Z170/SUM(Z:Z),0.75)</f>
        <v>0.75</v>
      </c>
      <c r="AB170" s="2">
        <f>AA170-F170</f>
        <v>0</v>
      </c>
    </row>
    <row r="171" spans="1:28" hidden="1" x14ac:dyDescent="0.25">
      <c r="B171" s="1">
        <v>177</v>
      </c>
      <c r="C171" s="1" t="s">
        <v>212</v>
      </c>
      <c r="D171" s="1" t="s">
        <v>37</v>
      </c>
      <c r="E171" s="1">
        <v>22</v>
      </c>
      <c r="F171" s="1">
        <v>1.67</v>
      </c>
      <c r="G171" s="1">
        <v>2086</v>
      </c>
      <c r="H171" s="2">
        <v>23.308420411917201</v>
      </c>
      <c r="I171" s="2">
        <v>48.3842907285105</v>
      </c>
      <c r="J171" s="2">
        <v>57.379276503664101</v>
      </c>
      <c r="K171" s="2">
        <v>44.426761481100101</v>
      </c>
      <c r="L171" s="2">
        <v>44.889258028792902</v>
      </c>
      <c r="M171" s="2">
        <v>56.5181329922587</v>
      </c>
      <c r="N171" s="2">
        <v>54.5836611349309</v>
      </c>
      <c r="O171" s="2">
        <v>39.630628601460202</v>
      </c>
      <c r="P171" s="2">
        <v>33.967431671131202</v>
      </c>
      <c r="Q171" s="2">
        <v>46.007668814471003</v>
      </c>
      <c r="R171" s="2">
        <v>51.686340125328798</v>
      </c>
      <c r="S171" s="2">
        <v>46.863546049085699</v>
      </c>
      <c r="T171" s="2">
        <v>52.4603541061675</v>
      </c>
      <c r="U171" s="2">
        <v>44.321500298976503</v>
      </c>
      <c r="V171" s="2">
        <v>43.778958489189897</v>
      </c>
      <c r="W171" s="2">
        <v>51.943894309793201</v>
      </c>
      <c r="X171" s="2">
        <v>44.615666369030798</v>
      </c>
      <c r="Y171" s="2">
        <v>43.782189580601603</v>
      </c>
      <c r="Z171" s="2">
        <v>-0.60663330541649296</v>
      </c>
      <c r="AA171" s="2">
        <f>MAX(120*16*Z171/SUM(Z:Z),0.75)</f>
        <v>0.75</v>
      </c>
      <c r="AB171" s="2">
        <f>AA171-F171</f>
        <v>-0.91999999999999993</v>
      </c>
    </row>
    <row r="172" spans="1:28" hidden="1" x14ac:dyDescent="0.25">
      <c r="B172" s="1">
        <v>231</v>
      </c>
      <c r="C172" s="1" t="s">
        <v>209</v>
      </c>
      <c r="D172" s="1" t="s">
        <v>55</v>
      </c>
      <c r="E172" s="1">
        <v>29</v>
      </c>
      <c r="F172" s="1">
        <v>0.75</v>
      </c>
      <c r="G172" s="1">
        <v>2086</v>
      </c>
      <c r="H172" s="2">
        <v>28.349132188760599</v>
      </c>
      <c r="I172" s="2">
        <v>48.277821559245702</v>
      </c>
      <c r="J172" s="2">
        <v>49.866263251712098</v>
      </c>
      <c r="K172" s="2">
        <v>48.126212590299197</v>
      </c>
      <c r="L172" s="2">
        <v>45.758448259686602</v>
      </c>
      <c r="M172" s="2">
        <v>52.537132939300101</v>
      </c>
      <c r="N172" s="2">
        <v>47.397617037245503</v>
      </c>
      <c r="O172" s="2">
        <v>41.6245614035087</v>
      </c>
      <c r="P172" s="2">
        <v>33.0644807205178</v>
      </c>
      <c r="Q172" s="2">
        <v>49.334224598930398</v>
      </c>
      <c r="R172" s="2">
        <v>49.132761047002496</v>
      </c>
      <c r="S172" s="2">
        <v>45.841692466460202</v>
      </c>
      <c r="T172" s="2">
        <v>51.927253963786399</v>
      </c>
      <c r="U172" s="2">
        <v>43.970794633642903</v>
      </c>
      <c r="V172" s="2">
        <v>43.849047753072497</v>
      </c>
      <c r="W172" s="2">
        <v>52.491040435312797</v>
      </c>
      <c r="X172" s="2">
        <v>45.0819119992494</v>
      </c>
      <c r="Y172" s="2">
        <v>42.904690871563901</v>
      </c>
      <c r="Z172" s="2">
        <v>-0.55585931781252995</v>
      </c>
      <c r="AA172" s="2">
        <f>MAX(120*16*Z172/SUM(Z:Z),0.75)</f>
        <v>0.75</v>
      </c>
      <c r="AB172" s="2">
        <f>AA172-F172</f>
        <v>0</v>
      </c>
    </row>
    <row r="173" spans="1:28" hidden="1" x14ac:dyDescent="0.25">
      <c r="B173" s="1">
        <v>234</v>
      </c>
      <c r="C173" s="1" t="s">
        <v>218</v>
      </c>
      <c r="D173" s="1" t="s">
        <v>43</v>
      </c>
      <c r="E173" s="1">
        <v>30</v>
      </c>
      <c r="F173" s="1">
        <v>0.96</v>
      </c>
      <c r="G173" s="1">
        <v>2086</v>
      </c>
      <c r="H173" s="2">
        <v>29.3191930618401</v>
      </c>
      <c r="I173" s="2">
        <v>47.999434389140198</v>
      </c>
      <c r="J173" s="2">
        <v>49.335030165912499</v>
      </c>
      <c r="K173" s="2">
        <v>51.758609854197999</v>
      </c>
      <c r="L173" s="2">
        <v>51.9292357968828</v>
      </c>
      <c r="M173" s="2">
        <v>34.320575666163897</v>
      </c>
      <c r="N173" s="2">
        <v>30.71744595274</v>
      </c>
      <c r="O173" s="2">
        <v>43.647624434389101</v>
      </c>
      <c r="P173" s="2">
        <v>57.762883358471498</v>
      </c>
      <c r="Q173" s="2">
        <v>49.169431875314203</v>
      </c>
      <c r="R173" s="2">
        <v>40.5073529411764</v>
      </c>
      <c r="S173" s="2">
        <v>39.186588738059299</v>
      </c>
      <c r="T173" s="2">
        <v>41.688222724987398</v>
      </c>
      <c r="U173" s="2">
        <v>49.007667169431798</v>
      </c>
      <c r="V173" s="2">
        <v>51.244406737053701</v>
      </c>
      <c r="W173" s="2">
        <v>52.690925087983899</v>
      </c>
      <c r="X173" s="2">
        <v>52.784565108094498</v>
      </c>
      <c r="Y173" s="2">
        <v>60.872549019607803</v>
      </c>
      <c r="Z173" s="2">
        <v>-0.16872239045120899</v>
      </c>
      <c r="AA173" s="2">
        <f>MAX(120*16*Z173/SUM(Z:Z),0.75)</f>
        <v>0.75</v>
      </c>
      <c r="AB173" s="2">
        <f>AA173-F173</f>
        <v>-0.20999999999999996</v>
      </c>
    </row>
    <row r="174" spans="1:28" hidden="1" x14ac:dyDescent="0.25">
      <c r="A174" s="1">
        <v>1</v>
      </c>
      <c r="B174" s="1">
        <v>198</v>
      </c>
      <c r="C174" s="1" t="s">
        <v>215</v>
      </c>
      <c r="D174" s="1" t="s">
        <v>60</v>
      </c>
      <c r="E174" s="1">
        <v>23</v>
      </c>
      <c r="F174" s="1">
        <v>0.78</v>
      </c>
      <c r="G174" s="1">
        <v>2086</v>
      </c>
      <c r="H174" s="2">
        <v>23.936945304437501</v>
      </c>
      <c r="I174" s="2">
        <v>47.968421052631498</v>
      </c>
      <c r="J174" s="2">
        <v>55.587512899896801</v>
      </c>
      <c r="K174" s="2">
        <v>55.725283797729602</v>
      </c>
      <c r="L174" s="2">
        <v>50.1061919504643</v>
      </c>
      <c r="M174" s="2">
        <v>49.4022703818369</v>
      </c>
      <c r="N174" s="2">
        <v>48.273684210526298</v>
      </c>
      <c r="O174" s="2">
        <v>40.777915376676901</v>
      </c>
      <c r="P174" s="2">
        <v>45.181836945304397</v>
      </c>
      <c r="Q174" s="2">
        <v>49.003405572755398</v>
      </c>
      <c r="R174" s="2">
        <v>43.0518059855521</v>
      </c>
      <c r="S174" s="2">
        <v>40.964086687306498</v>
      </c>
      <c r="T174" s="2">
        <v>44.0285861713106</v>
      </c>
      <c r="U174" s="2">
        <v>42.952837977296099</v>
      </c>
      <c r="V174" s="2">
        <v>43.785139318885399</v>
      </c>
      <c r="W174" s="2">
        <v>45.897729618162998</v>
      </c>
      <c r="X174" s="2">
        <v>42.631166150670701</v>
      </c>
      <c r="Y174" s="2">
        <v>48.606914344685201</v>
      </c>
      <c r="Z174" s="2">
        <v>-0.12953790595887599</v>
      </c>
      <c r="AA174" s="2">
        <f>MAX(120*16*Z174/SUM(Z:Z),0.75)</f>
        <v>0.75</v>
      </c>
      <c r="AB174" s="2">
        <f>AA174-F174</f>
        <v>-3.0000000000000027E-2</v>
      </c>
    </row>
    <row r="175" spans="1:28" hidden="1" x14ac:dyDescent="0.25">
      <c r="A175" s="1">
        <v>1</v>
      </c>
      <c r="B175" s="1">
        <v>214</v>
      </c>
      <c r="C175" s="1" t="s">
        <v>214</v>
      </c>
      <c r="D175" s="1" t="s">
        <v>75</v>
      </c>
      <c r="E175" s="1">
        <v>26</v>
      </c>
      <c r="F175" s="1">
        <v>1.23</v>
      </c>
      <c r="G175" s="1">
        <v>2085</v>
      </c>
      <c r="H175" s="2">
        <v>25.2871120107962</v>
      </c>
      <c r="I175" s="2">
        <v>47.920827710301303</v>
      </c>
      <c r="J175" s="2">
        <v>53.424014095066703</v>
      </c>
      <c r="K175" s="2">
        <v>28.333933123406801</v>
      </c>
      <c r="L175" s="2">
        <v>45.085769980506797</v>
      </c>
      <c r="M175" s="2">
        <v>65.120220422852</v>
      </c>
      <c r="N175" s="2">
        <v>62.845441595441599</v>
      </c>
      <c r="O175" s="2">
        <v>44.781076623181796</v>
      </c>
      <c r="P175" s="2">
        <v>35.1488603988604</v>
      </c>
      <c r="Q175" s="2">
        <v>39.175288648972803</v>
      </c>
      <c r="R175" s="2">
        <v>51.827672814514898</v>
      </c>
      <c r="S175" s="2">
        <v>56.208576998050603</v>
      </c>
      <c r="T175" s="2">
        <v>52.997113510271397</v>
      </c>
      <c r="U175" s="2">
        <v>41.800644774328902</v>
      </c>
      <c r="V175" s="2">
        <v>41.087344429449601</v>
      </c>
      <c r="W175" s="2">
        <v>59.556605188184101</v>
      </c>
      <c r="X175" s="2">
        <v>58.672139751087101</v>
      </c>
      <c r="Y175" s="2">
        <v>42.383115909431602</v>
      </c>
      <c r="Z175" s="2">
        <v>-0.58010840620763804</v>
      </c>
      <c r="AA175" s="2">
        <f>MAX(120*16*Z175/SUM(Z:Z),0.75)</f>
        <v>0.75</v>
      </c>
      <c r="AB175" s="2">
        <f>AA175-F175</f>
        <v>-0.48</v>
      </c>
    </row>
    <row r="176" spans="1:28" hidden="1" x14ac:dyDescent="0.25">
      <c r="B176" s="1">
        <v>127</v>
      </c>
      <c r="C176" s="1" t="s">
        <v>217</v>
      </c>
      <c r="D176" s="1" t="s">
        <v>46</v>
      </c>
      <c r="E176" s="1">
        <v>22</v>
      </c>
      <c r="F176" s="1">
        <v>0.75</v>
      </c>
      <c r="G176" s="1">
        <v>2085</v>
      </c>
      <c r="H176" s="2">
        <v>23.077582417582398</v>
      </c>
      <c r="I176" s="2">
        <v>47.919536019535997</v>
      </c>
      <c r="J176" s="2">
        <v>57.728620268620197</v>
      </c>
      <c r="K176" s="2">
        <v>56.592185592185501</v>
      </c>
      <c r="L176" s="2">
        <v>55.132747252747201</v>
      </c>
      <c r="M176" s="2">
        <v>49.301465201465199</v>
      </c>
      <c r="N176" s="2">
        <v>48.323052503052502</v>
      </c>
      <c r="O176" s="2">
        <v>41.1987301587301</v>
      </c>
      <c r="P176" s="2">
        <v>52.800122100122103</v>
      </c>
      <c r="Q176" s="2">
        <v>51.832112332112303</v>
      </c>
      <c r="R176" s="2">
        <v>36.435482295482203</v>
      </c>
      <c r="S176" s="2">
        <v>35.132551892551803</v>
      </c>
      <c r="T176" s="2">
        <v>35.617216117216103</v>
      </c>
      <c r="U176" s="2">
        <v>40.9455433455433</v>
      </c>
      <c r="V176" s="2">
        <v>44.217387057387</v>
      </c>
      <c r="W176" s="2">
        <v>46.035262515262502</v>
      </c>
      <c r="X176" s="2">
        <v>45.025543345543298</v>
      </c>
      <c r="Y176" s="2">
        <v>54.752014652014601</v>
      </c>
      <c r="Z176" s="2">
        <v>-0.51198471188848105</v>
      </c>
      <c r="AA176" s="2">
        <f>MAX(120*16*Z176/SUM(Z:Z),0.75)</f>
        <v>0.75</v>
      </c>
      <c r="AB176" s="2">
        <f>AA176-F176</f>
        <v>0</v>
      </c>
    </row>
    <row r="177" spans="1:28" hidden="1" x14ac:dyDescent="0.25">
      <c r="B177" s="1">
        <v>228</v>
      </c>
      <c r="C177" s="1" t="s">
        <v>216</v>
      </c>
      <c r="D177" s="1" t="s">
        <v>43</v>
      </c>
      <c r="E177" s="1">
        <v>30</v>
      </c>
      <c r="F177" s="1">
        <v>0.86</v>
      </c>
      <c r="G177" s="1">
        <v>2086</v>
      </c>
      <c r="H177" s="2">
        <v>27.971153846153801</v>
      </c>
      <c r="I177" s="2">
        <v>47.375801282051199</v>
      </c>
      <c r="J177" s="2">
        <v>48.852564102564102</v>
      </c>
      <c r="K177" s="2">
        <v>56.814102564102498</v>
      </c>
      <c r="L177" s="2">
        <v>56.8910256410256</v>
      </c>
      <c r="M177" s="2">
        <v>40.251602564102498</v>
      </c>
      <c r="N177" s="2">
        <v>36.290064102564102</v>
      </c>
      <c r="O177" s="2">
        <v>42.075320512820497</v>
      </c>
      <c r="P177" s="2">
        <v>56.935897435897402</v>
      </c>
      <c r="Q177" s="2">
        <v>49.371794871794798</v>
      </c>
      <c r="R177" s="2">
        <v>32.589743589743499</v>
      </c>
      <c r="S177" s="2">
        <v>32.051282051282001</v>
      </c>
      <c r="T177" s="2">
        <v>31.9767628205128</v>
      </c>
      <c r="U177" s="2">
        <v>43.052884615384599</v>
      </c>
      <c r="V177" s="2">
        <v>50.705128205128197</v>
      </c>
      <c r="W177" s="2">
        <v>47.444711538461497</v>
      </c>
      <c r="X177" s="2">
        <v>47.931891025641001</v>
      </c>
      <c r="Y177" s="2">
        <v>60.5625</v>
      </c>
      <c r="Z177" s="2">
        <v>-0.62945044636873004</v>
      </c>
      <c r="AA177" s="2">
        <f>MAX(120*16*Z177/SUM(Z:Z),0.75)</f>
        <v>0.75</v>
      </c>
      <c r="AB177" s="2">
        <f>AA177-F177</f>
        <v>-0.10999999999999999</v>
      </c>
    </row>
    <row r="178" spans="1:28" hidden="1" x14ac:dyDescent="0.25">
      <c r="A178" s="1">
        <v>1</v>
      </c>
      <c r="B178" s="1">
        <v>12</v>
      </c>
      <c r="C178" s="1" t="s">
        <v>219</v>
      </c>
      <c r="D178" s="1" t="s">
        <v>43</v>
      </c>
      <c r="E178" s="1">
        <v>19</v>
      </c>
      <c r="F178" s="1">
        <v>3.88</v>
      </c>
      <c r="G178" s="1">
        <v>2087</v>
      </c>
      <c r="H178" s="2">
        <v>22.470344076327802</v>
      </c>
      <c r="I178" s="2">
        <v>47.347062579821198</v>
      </c>
      <c r="J178" s="2">
        <v>59.276143790849602</v>
      </c>
      <c r="K178" s="2">
        <v>63.007043047103899</v>
      </c>
      <c r="L178" s="2">
        <v>53.006817669596501</v>
      </c>
      <c r="M178" s="2">
        <v>45.432405529261501</v>
      </c>
      <c r="N178" s="2">
        <v>45.4466230936819</v>
      </c>
      <c r="O178" s="2">
        <v>35.943618060250898</v>
      </c>
      <c r="P178" s="2">
        <v>49.999417774772702</v>
      </c>
      <c r="Q178" s="2">
        <v>50.143095935692202</v>
      </c>
      <c r="R178" s="2">
        <v>32.8815829013597</v>
      </c>
      <c r="S178" s="2">
        <v>32.3030951844339</v>
      </c>
      <c r="T178" s="2">
        <v>32.382784914732099</v>
      </c>
      <c r="U178" s="2">
        <v>39.768593644354297</v>
      </c>
      <c r="V178" s="2">
        <v>46.451299676958897</v>
      </c>
      <c r="W178" s="2">
        <v>45.378803245436103</v>
      </c>
      <c r="X178" s="2">
        <v>45.099785891368001</v>
      </c>
      <c r="Y178" s="2">
        <v>61.245943204868098</v>
      </c>
      <c r="Z178" s="2">
        <v>-0.36232431221132899</v>
      </c>
      <c r="AA178" s="2">
        <f>MAX(120*16*Z178/SUM(Z:Z),0.75)</f>
        <v>0.75</v>
      </c>
      <c r="AB178" s="2">
        <f>AA178-F178</f>
        <v>-3.13</v>
      </c>
    </row>
    <row r="179" spans="1:28" hidden="1" x14ac:dyDescent="0.25">
      <c r="B179" s="1">
        <v>236</v>
      </c>
      <c r="C179" s="1" t="s">
        <v>221</v>
      </c>
      <c r="D179" s="1" t="s">
        <v>43</v>
      </c>
      <c r="E179" s="1">
        <v>28</v>
      </c>
      <c r="F179" s="1">
        <v>0.97</v>
      </c>
      <c r="G179" s="1">
        <v>2086</v>
      </c>
      <c r="H179" s="2">
        <v>26.211388888888798</v>
      </c>
      <c r="I179" s="2">
        <v>47.336388888888798</v>
      </c>
      <c r="J179" s="2">
        <v>51.515833333333298</v>
      </c>
      <c r="K179" s="2">
        <v>62.465138888888802</v>
      </c>
      <c r="L179" s="2">
        <v>53.503611111111098</v>
      </c>
      <c r="M179" s="2">
        <v>46.710416666666603</v>
      </c>
      <c r="N179" s="2">
        <v>42.908888888888796</v>
      </c>
      <c r="O179" s="2">
        <v>42.584444444444401</v>
      </c>
      <c r="P179" s="2">
        <v>51.668611111111098</v>
      </c>
      <c r="Q179" s="2">
        <v>52.043611111111098</v>
      </c>
      <c r="R179" s="2">
        <v>33.443194444444401</v>
      </c>
      <c r="S179" s="2">
        <v>32.426111111111098</v>
      </c>
      <c r="T179" s="2">
        <v>32.555416666666602</v>
      </c>
      <c r="U179" s="2">
        <v>39.494999999999997</v>
      </c>
      <c r="V179" s="2">
        <v>44.8923611111111</v>
      </c>
      <c r="W179" s="2">
        <v>44.179861111111101</v>
      </c>
      <c r="X179" s="2">
        <v>43.3530555555555</v>
      </c>
      <c r="Y179" s="2">
        <v>53.896111111111097</v>
      </c>
      <c r="Z179" s="2">
        <v>-0.41274686211851502</v>
      </c>
      <c r="AA179" s="2">
        <f>MAX(120*16*Z179/SUM(Z:Z),0.75)</f>
        <v>0.75</v>
      </c>
      <c r="AB179" s="2">
        <f>AA179-F179</f>
        <v>-0.21999999999999997</v>
      </c>
    </row>
    <row r="180" spans="1:28" hidden="1" x14ac:dyDescent="0.25">
      <c r="B180" s="1">
        <v>77</v>
      </c>
      <c r="C180" s="1" t="s">
        <v>220</v>
      </c>
      <c r="D180" s="1" t="s">
        <v>55</v>
      </c>
      <c r="E180" s="1">
        <v>31</v>
      </c>
      <c r="F180" s="1">
        <v>0.75</v>
      </c>
      <c r="G180" s="1">
        <v>2086</v>
      </c>
      <c r="H180" s="2">
        <v>29.0605389442598</v>
      </c>
      <c r="I180" s="2">
        <v>47.2746400885935</v>
      </c>
      <c r="J180" s="2">
        <v>48.867478774455499</v>
      </c>
      <c r="K180" s="2">
        <v>57.082687338501202</v>
      </c>
      <c r="L180" s="2">
        <v>53.666297526762598</v>
      </c>
      <c r="M180" s="2">
        <v>36.596160944998097</v>
      </c>
      <c r="N180" s="2">
        <v>32.503506829088202</v>
      </c>
      <c r="O180" s="2">
        <v>41.5655223329642</v>
      </c>
      <c r="P180" s="2">
        <v>51.935769656699797</v>
      </c>
      <c r="Q180" s="2">
        <v>50.403469915097801</v>
      </c>
      <c r="R180" s="2">
        <v>34.5404208194905</v>
      </c>
      <c r="S180" s="2">
        <v>35.392026578073001</v>
      </c>
      <c r="T180" s="2">
        <v>33.602067183462502</v>
      </c>
      <c r="U180" s="2">
        <v>45.900332225913601</v>
      </c>
      <c r="V180" s="2">
        <v>51.064599483204098</v>
      </c>
      <c r="W180" s="2">
        <v>50.414913252122503</v>
      </c>
      <c r="X180" s="2">
        <v>48.228128460686598</v>
      </c>
      <c r="Y180" s="2">
        <v>63.575119970468798</v>
      </c>
      <c r="Z180" s="2">
        <v>-0.33583178680775799</v>
      </c>
      <c r="AA180" s="2">
        <f>MAX(120*16*Z180/SUM(Z:Z),0.75)</f>
        <v>0.75</v>
      </c>
      <c r="AB180" s="2">
        <f>AA180-F180</f>
        <v>0</v>
      </c>
    </row>
    <row r="181" spans="1:28" hidden="1" x14ac:dyDescent="0.25">
      <c r="B181" s="1">
        <v>175</v>
      </c>
      <c r="C181" s="1" t="s">
        <v>223</v>
      </c>
      <c r="D181" s="1" t="s">
        <v>37</v>
      </c>
      <c r="E181" s="1">
        <v>22</v>
      </c>
      <c r="F181" s="1">
        <v>1.0900000000000001</v>
      </c>
      <c r="G181" s="1">
        <v>2086</v>
      </c>
      <c r="H181" s="2">
        <v>23.430887556383801</v>
      </c>
      <c r="I181" s="2">
        <v>47.235988439618602</v>
      </c>
      <c r="J181" s="2">
        <v>56.459666963779199</v>
      </c>
      <c r="K181" s="2">
        <v>43.520115873916197</v>
      </c>
      <c r="L181" s="2">
        <v>44.565594360262502</v>
      </c>
      <c r="M181" s="2">
        <v>58.837823785214503</v>
      </c>
      <c r="N181" s="2">
        <v>58.435769656699797</v>
      </c>
      <c r="O181" s="2">
        <v>39.620344110417797</v>
      </c>
      <c r="P181" s="2">
        <v>33.4199686681252</v>
      </c>
      <c r="Q181" s="2">
        <v>42.923081597925602</v>
      </c>
      <c r="R181" s="2">
        <v>44.750641493125897</v>
      </c>
      <c r="S181" s="2">
        <v>40.749473300380799</v>
      </c>
      <c r="T181" s="2">
        <v>47.152364746238803</v>
      </c>
      <c r="U181" s="2">
        <v>42.945736434108497</v>
      </c>
      <c r="V181" s="2">
        <v>41.779333117251397</v>
      </c>
      <c r="W181" s="2">
        <v>53.278023120762697</v>
      </c>
      <c r="X181" s="2">
        <v>47.830571536612297</v>
      </c>
      <c r="Y181" s="2">
        <v>44.160305755881403</v>
      </c>
      <c r="Z181" s="2">
        <v>-0.60180801257550898</v>
      </c>
      <c r="AA181" s="2">
        <f>MAX(120*16*Z181/SUM(Z:Z),0.75)</f>
        <v>0.75</v>
      </c>
      <c r="AB181" s="2">
        <f>AA181-F181</f>
        <v>-0.34000000000000008</v>
      </c>
    </row>
    <row r="182" spans="1:28" hidden="1" x14ac:dyDescent="0.25">
      <c r="B182" s="1">
        <v>233</v>
      </c>
      <c r="C182" s="1" t="s">
        <v>222</v>
      </c>
      <c r="D182" s="1" t="s">
        <v>46</v>
      </c>
      <c r="E182" s="1">
        <v>30</v>
      </c>
      <c r="F182" s="1">
        <v>1</v>
      </c>
      <c r="G182" s="1">
        <v>2086</v>
      </c>
      <c r="H182" s="2">
        <v>28.623076923076901</v>
      </c>
      <c r="I182" s="2">
        <v>47.044230769230701</v>
      </c>
      <c r="J182" s="2">
        <v>48.531837606837598</v>
      </c>
      <c r="K182" s="2">
        <v>46.809829059828999</v>
      </c>
      <c r="L182" s="2">
        <v>48.028205128205101</v>
      </c>
      <c r="M182" s="2">
        <v>48.258974358974299</v>
      </c>
      <c r="N182" s="2">
        <v>43.563034188034102</v>
      </c>
      <c r="O182" s="2">
        <v>41.5786324786324</v>
      </c>
      <c r="P182" s="2">
        <v>40.589743589743499</v>
      </c>
      <c r="Q182" s="2">
        <v>49.064957264957201</v>
      </c>
      <c r="R182" s="2">
        <v>43.706196581196501</v>
      </c>
      <c r="S182" s="2">
        <v>41.601282051281999</v>
      </c>
      <c r="T182" s="2">
        <v>43.897008547008497</v>
      </c>
      <c r="U182" s="2">
        <v>46.608547008546999</v>
      </c>
      <c r="V182" s="2">
        <v>46.6435897435897</v>
      </c>
      <c r="W182" s="2">
        <v>51.509188034188</v>
      </c>
      <c r="X182" s="2">
        <v>45.754914529914501</v>
      </c>
      <c r="Y182" s="2">
        <v>47.551709401709402</v>
      </c>
      <c r="Z182" s="2">
        <v>-0.48118124027367698</v>
      </c>
      <c r="AA182" s="2">
        <f>MAX(120*16*Z182/SUM(Z:Z),0.75)</f>
        <v>0.75</v>
      </c>
      <c r="AB182" s="2">
        <f>AA182-F182</f>
        <v>-0.25</v>
      </c>
    </row>
    <row r="183" spans="1:28" hidden="1" x14ac:dyDescent="0.25">
      <c r="B183" s="1">
        <v>219</v>
      </c>
      <c r="C183" s="1" t="s">
        <v>225</v>
      </c>
      <c r="D183" s="1" t="s">
        <v>60</v>
      </c>
      <c r="E183" s="1">
        <v>29</v>
      </c>
      <c r="F183" s="1">
        <v>0.75</v>
      </c>
      <c r="G183" s="1">
        <v>2086</v>
      </c>
      <c r="H183" s="2">
        <v>27.410493827160401</v>
      </c>
      <c r="I183" s="2">
        <v>46.820987654320902</v>
      </c>
      <c r="J183" s="2">
        <v>49.737654320987602</v>
      </c>
      <c r="K183" s="2">
        <v>62.391975308641904</v>
      </c>
      <c r="L183" s="2">
        <v>50.432098765432102</v>
      </c>
      <c r="M183" s="2">
        <v>44.290123456790099</v>
      </c>
      <c r="N183" s="2">
        <v>40.033950617283899</v>
      </c>
      <c r="O183" s="2">
        <v>39.898148148148103</v>
      </c>
      <c r="P183" s="2">
        <v>46.203703703703702</v>
      </c>
      <c r="Q183" s="2">
        <v>49.956790123456699</v>
      </c>
      <c r="R183" s="2">
        <v>34.740740740740698</v>
      </c>
      <c r="S183" s="2">
        <v>36.8055555555555</v>
      </c>
      <c r="T183" s="2">
        <v>37.067901234567898</v>
      </c>
      <c r="U183" s="2">
        <v>39.796296296296298</v>
      </c>
      <c r="V183" s="2">
        <v>45.950617283950599</v>
      </c>
      <c r="W183" s="2">
        <v>45.172839506172799</v>
      </c>
      <c r="X183" s="2">
        <v>44.901234567901199</v>
      </c>
      <c r="Y183" s="2">
        <v>54.123456790123399</v>
      </c>
      <c r="Z183" s="2">
        <v>-0.38383474198206302</v>
      </c>
      <c r="AA183" s="2">
        <f>MAX(120*16*Z183/SUM(Z:Z),0.75)</f>
        <v>0.75</v>
      </c>
      <c r="AB183" s="2">
        <f>AA183-F183</f>
        <v>0</v>
      </c>
    </row>
    <row r="184" spans="1:28" hidden="1" x14ac:dyDescent="0.25">
      <c r="B184" s="1">
        <v>184</v>
      </c>
      <c r="C184" s="1" t="s">
        <v>230</v>
      </c>
      <c r="D184" s="1" t="s">
        <v>53</v>
      </c>
      <c r="E184" s="1">
        <v>25</v>
      </c>
      <c r="F184" s="1">
        <v>3.8699999999999899</v>
      </c>
      <c r="G184" s="1">
        <v>2085</v>
      </c>
      <c r="H184" s="2">
        <v>24.555916305916298</v>
      </c>
      <c r="I184" s="2">
        <v>46.813852813852797</v>
      </c>
      <c r="J184" s="2">
        <v>54.195165945165897</v>
      </c>
      <c r="K184" s="2">
        <v>49.204906204906202</v>
      </c>
      <c r="L184" s="2">
        <v>44.5339105339105</v>
      </c>
      <c r="M184" s="2">
        <v>54.340909090909001</v>
      </c>
      <c r="N184" s="2">
        <v>51.529581529581499</v>
      </c>
      <c r="O184" s="2">
        <v>39.465367965367903</v>
      </c>
      <c r="P184" s="2">
        <v>33.6313131313131</v>
      </c>
      <c r="Q184" s="2">
        <v>43.068542568542497</v>
      </c>
      <c r="R184" s="2">
        <v>42.194805194805099</v>
      </c>
      <c r="S184" s="2">
        <v>46.518759018758999</v>
      </c>
      <c r="T184" s="2">
        <v>45.809523809523803</v>
      </c>
      <c r="U184" s="2">
        <v>43.367604617604599</v>
      </c>
      <c r="V184" s="2">
        <v>40.870851370851298</v>
      </c>
      <c r="W184" s="2">
        <v>54.082611832611803</v>
      </c>
      <c r="X184" s="2">
        <v>46.856421356421301</v>
      </c>
      <c r="Y184" s="2">
        <v>46.787518037517998</v>
      </c>
      <c r="Z184" s="2">
        <v>-0.246600974403129</v>
      </c>
      <c r="AA184" s="2">
        <f>MAX(120*16*Z184/SUM(Z:Z),0.75)</f>
        <v>0.75</v>
      </c>
      <c r="AB184" s="2">
        <f>AA184-F184</f>
        <v>-3.1199999999999899</v>
      </c>
    </row>
    <row r="185" spans="1:28" hidden="1" x14ac:dyDescent="0.25">
      <c r="B185" s="1">
        <v>183</v>
      </c>
      <c r="C185" s="1" t="s">
        <v>228</v>
      </c>
      <c r="D185" s="1" t="s">
        <v>55</v>
      </c>
      <c r="E185" s="1">
        <v>24</v>
      </c>
      <c r="F185" s="1">
        <v>3.18</v>
      </c>
      <c r="G185" s="1">
        <v>2085</v>
      </c>
      <c r="H185" s="2">
        <v>24.3382791327913</v>
      </c>
      <c r="I185" s="2">
        <v>46.696070460704597</v>
      </c>
      <c r="J185" s="2">
        <v>54.241971544715398</v>
      </c>
      <c r="K185" s="2">
        <v>46.505047425474203</v>
      </c>
      <c r="L185" s="2">
        <v>43.552439024390203</v>
      </c>
      <c r="M185" s="2">
        <v>52.552845528455201</v>
      </c>
      <c r="N185" s="2">
        <v>50.731029810298097</v>
      </c>
      <c r="O185" s="2">
        <v>38.717547425474201</v>
      </c>
      <c r="P185" s="2">
        <v>36.724288617886103</v>
      </c>
      <c r="Q185" s="2">
        <v>46.150813008130001</v>
      </c>
      <c r="R185" s="2">
        <v>52.373577235772302</v>
      </c>
      <c r="S185" s="2">
        <v>53.232757452574504</v>
      </c>
      <c r="T185" s="2">
        <v>54.745731707316999</v>
      </c>
      <c r="U185" s="2">
        <v>41.976693766937601</v>
      </c>
      <c r="V185" s="2">
        <v>43.308502710027099</v>
      </c>
      <c r="W185" s="2">
        <v>49.922188346883402</v>
      </c>
      <c r="X185" s="2">
        <v>43.3345867208672</v>
      </c>
      <c r="Y185" s="2">
        <v>43.1880081300813</v>
      </c>
      <c r="Z185" s="2">
        <v>-0.415658773355357</v>
      </c>
      <c r="AA185" s="2">
        <f>MAX(120*16*Z185/SUM(Z:Z),0.75)</f>
        <v>0.75</v>
      </c>
      <c r="AB185" s="2">
        <f>AA185-F185</f>
        <v>-2.4300000000000002</v>
      </c>
    </row>
    <row r="186" spans="1:28" hidden="1" x14ac:dyDescent="0.25">
      <c r="B186" s="1">
        <v>167</v>
      </c>
      <c r="C186" s="1" t="s">
        <v>232</v>
      </c>
      <c r="D186" s="1" t="s">
        <v>46</v>
      </c>
      <c r="E186" s="1">
        <v>23</v>
      </c>
      <c r="F186" s="1">
        <v>4.66</v>
      </c>
      <c r="G186" s="1">
        <v>2085</v>
      </c>
      <c r="H186" s="2">
        <v>24.595238095237999</v>
      </c>
      <c r="I186" s="2">
        <v>46.652380952380902</v>
      </c>
      <c r="J186" s="2">
        <v>53.059523809523803</v>
      </c>
      <c r="K186" s="2">
        <v>55.259523809523799</v>
      </c>
      <c r="L186" s="2">
        <v>53.235714285714202</v>
      </c>
      <c r="M186" s="2">
        <v>43.716666666666598</v>
      </c>
      <c r="N186" s="2">
        <v>43.4738095238095</v>
      </c>
      <c r="O186" s="2">
        <v>41.226190476190403</v>
      </c>
      <c r="P186" s="2">
        <v>43.478571428571399</v>
      </c>
      <c r="Q186" s="2">
        <v>48.566666666666599</v>
      </c>
      <c r="R186" s="2">
        <v>35.616666666666603</v>
      </c>
      <c r="S186" s="2">
        <v>35.933333333333302</v>
      </c>
      <c r="T186" s="2">
        <v>34.683333333333302</v>
      </c>
      <c r="U186" s="2">
        <v>39.819047619047602</v>
      </c>
      <c r="V186" s="2">
        <v>48.404761904761898</v>
      </c>
      <c r="W186" s="2">
        <v>50.3595238095238</v>
      </c>
      <c r="X186" s="2">
        <v>46.8595238095238</v>
      </c>
      <c r="Y186" s="2">
        <v>60.221428571428497</v>
      </c>
      <c r="Z186" s="2">
        <v>-0.54531902878588301</v>
      </c>
      <c r="AA186" s="2">
        <f>MAX(120*16*Z186/SUM(Z:Z),0.75)</f>
        <v>0.75</v>
      </c>
      <c r="AB186" s="2">
        <f>AA186-F186</f>
        <v>-3.91</v>
      </c>
    </row>
    <row r="187" spans="1:28" hidden="1" x14ac:dyDescent="0.25">
      <c r="B187" s="1">
        <v>200</v>
      </c>
      <c r="C187" s="1" t="s">
        <v>227</v>
      </c>
      <c r="D187" s="1" t="s">
        <v>53</v>
      </c>
      <c r="E187" s="1">
        <v>24</v>
      </c>
      <c r="F187" s="1">
        <v>0.96</v>
      </c>
      <c r="G187" s="1">
        <v>2086</v>
      </c>
      <c r="H187" s="2">
        <v>23.984623015873002</v>
      </c>
      <c r="I187" s="2">
        <v>46.422619047619001</v>
      </c>
      <c r="J187" s="2">
        <v>54.201785714285698</v>
      </c>
      <c r="K187" s="2">
        <v>56.393551587301502</v>
      </c>
      <c r="L187" s="2">
        <v>46.313392857142802</v>
      </c>
      <c r="M187" s="2">
        <v>54.893452380952297</v>
      </c>
      <c r="N187" s="2">
        <v>55.612499999999997</v>
      </c>
      <c r="O187" s="2">
        <v>38.105654761904702</v>
      </c>
      <c r="P187" s="2">
        <v>32.778472222222199</v>
      </c>
      <c r="Q187" s="2">
        <v>47.5366071428571</v>
      </c>
      <c r="R187" s="2">
        <v>34.426488095238</v>
      </c>
      <c r="S187" s="2">
        <v>31.8006944444444</v>
      </c>
      <c r="T187" s="2">
        <v>33.652678571428503</v>
      </c>
      <c r="U187" s="2">
        <v>39.734126984126902</v>
      </c>
      <c r="V187" s="2">
        <v>42.863194444444403</v>
      </c>
      <c r="W187" s="2">
        <v>49.8605158730158</v>
      </c>
      <c r="X187" s="2">
        <v>43.439682539682501</v>
      </c>
      <c r="Y187" s="2">
        <v>47.267460317460298</v>
      </c>
      <c r="Z187" s="2">
        <v>-0.18572533808609501</v>
      </c>
      <c r="AA187" s="2">
        <f>MAX(120*16*Z187/SUM(Z:Z),0.75)</f>
        <v>0.75</v>
      </c>
      <c r="AB187" s="2">
        <f>AA187-F187</f>
        <v>-0.20999999999999996</v>
      </c>
    </row>
    <row r="188" spans="1:28" hidden="1" x14ac:dyDescent="0.25">
      <c r="A188" s="1">
        <v>1</v>
      </c>
      <c r="B188" s="1">
        <v>104</v>
      </c>
      <c r="C188" s="1" t="s">
        <v>233</v>
      </c>
      <c r="D188" s="1" t="s">
        <v>53</v>
      </c>
      <c r="E188" s="1">
        <v>20</v>
      </c>
      <c r="F188" s="1">
        <v>0.75</v>
      </c>
      <c r="G188" s="1">
        <v>2085</v>
      </c>
      <c r="H188" s="2">
        <v>22.5209289389514</v>
      </c>
      <c r="I188" s="2">
        <v>46.243723457740899</v>
      </c>
      <c r="J188" s="2">
        <v>58.222211525090103</v>
      </c>
      <c r="K188" s="2">
        <v>56.138003701207701</v>
      </c>
      <c r="L188" s="2">
        <v>51.641079126686101</v>
      </c>
      <c r="M188" s="2">
        <v>56.496764117540003</v>
      </c>
      <c r="N188" s="2">
        <v>55.499181669394403</v>
      </c>
      <c r="O188" s="2">
        <v>37.835852507942597</v>
      </c>
      <c r="P188" s="2">
        <v>43.207395997133098</v>
      </c>
      <c r="Q188" s="2">
        <v>50.580265930703902</v>
      </c>
      <c r="R188" s="2">
        <v>35.052437341548703</v>
      </c>
      <c r="S188" s="2">
        <v>34.620786667094499</v>
      </c>
      <c r="T188" s="2">
        <v>33.599970048030102</v>
      </c>
      <c r="U188" s="2">
        <v>37.544494720965297</v>
      </c>
      <c r="V188" s="2">
        <v>40.165634393419097</v>
      </c>
      <c r="W188" s="2">
        <v>46.676187114234601</v>
      </c>
      <c r="X188" s="2">
        <v>44.169110961351201</v>
      </c>
      <c r="Y188" s="2">
        <v>47.243188601135998</v>
      </c>
      <c r="Z188" s="2">
        <v>-0.35987905665189901</v>
      </c>
      <c r="AA188" s="2">
        <f>MAX(120*16*Z188/SUM(Z:Z),0.75)</f>
        <v>0.75</v>
      </c>
      <c r="AB188" s="2">
        <f>AA188-F188</f>
        <v>0</v>
      </c>
    </row>
    <row r="189" spans="1:28" hidden="1" x14ac:dyDescent="0.25">
      <c r="B189" s="1">
        <v>196</v>
      </c>
      <c r="C189" s="1" t="s">
        <v>231</v>
      </c>
      <c r="D189" s="1" t="s">
        <v>43</v>
      </c>
      <c r="E189" s="1">
        <v>27</v>
      </c>
      <c r="F189" s="1">
        <v>1.71</v>
      </c>
      <c r="G189" s="1">
        <v>2087</v>
      </c>
      <c r="H189" s="2">
        <v>24.930571368332199</v>
      </c>
      <c r="I189" s="2">
        <v>46.210605102255897</v>
      </c>
      <c r="J189" s="2">
        <v>53.1982922201138</v>
      </c>
      <c r="K189" s="2">
        <v>60.9925363693864</v>
      </c>
      <c r="L189" s="2">
        <v>50.496689858739103</v>
      </c>
      <c r="M189" s="2">
        <v>50.369555133881498</v>
      </c>
      <c r="N189" s="2">
        <v>50.1728652751423</v>
      </c>
      <c r="O189" s="2">
        <v>39.0291798439806</v>
      </c>
      <c r="P189" s="2">
        <v>43.160868648534603</v>
      </c>
      <c r="Q189" s="2">
        <v>50.265802234872403</v>
      </c>
      <c r="R189" s="2">
        <v>30.428420830697799</v>
      </c>
      <c r="S189" s="2">
        <v>29.4465949820788</v>
      </c>
      <c r="T189" s="2">
        <v>31.117752477334999</v>
      </c>
      <c r="U189" s="2">
        <v>41.685578747628</v>
      </c>
      <c r="V189" s="2">
        <v>42.079274720640903</v>
      </c>
      <c r="W189" s="2">
        <v>44.318321737296998</v>
      </c>
      <c r="X189" s="2">
        <v>41.330170777988599</v>
      </c>
      <c r="Y189" s="2">
        <v>48.863082437275899</v>
      </c>
      <c r="Z189" s="2">
        <v>-0.17630586101397</v>
      </c>
      <c r="AA189" s="2">
        <f>MAX(120*16*Z189/SUM(Z:Z),0.75)</f>
        <v>0.75</v>
      </c>
      <c r="AB189" s="2">
        <f>AA189-F189</f>
        <v>-0.96</v>
      </c>
    </row>
    <row r="190" spans="1:28" hidden="1" x14ac:dyDescent="0.25">
      <c r="B190" s="1">
        <v>44</v>
      </c>
      <c r="C190" s="1" t="s">
        <v>229</v>
      </c>
      <c r="D190" s="1" t="s">
        <v>46</v>
      </c>
      <c r="E190" s="1">
        <v>21</v>
      </c>
      <c r="F190" s="1">
        <v>1.78</v>
      </c>
      <c r="G190" s="1">
        <v>2085</v>
      </c>
      <c r="H190" s="2">
        <v>22.937801932367101</v>
      </c>
      <c r="I190" s="2">
        <v>45.965579710144901</v>
      </c>
      <c r="J190" s="2">
        <v>57.138285024154499</v>
      </c>
      <c r="K190" s="2">
        <v>57.4607487922705</v>
      </c>
      <c r="L190" s="2">
        <v>52.052536231883998</v>
      </c>
      <c r="M190" s="2">
        <v>49.2614734299516</v>
      </c>
      <c r="N190" s="2">
        <v>46.595410628019302</v>
      </c>
      <c r="O190" s="2">
        <v>39.604468599033801</v>
      </c>
      <c r="P190" s="2">
        <v>50.7916666666666</v>
      </c>
      <c r="Q190" s="2">
        <v>49.854468599033801</v>
      </c>
      <c r="R190" s="2">
        <v>33.132246376811501</v>
      </c>
      <c r="S190" s="2">
        <v>32.359903381642503</v>
      </c>
      <c r="T190" s="2">
        <v>32.3979468599033</v>
      </c>
      <c r="U190" s="2">
        <v>40.106884057971001</v>
      </c>
      <c r="V190" s="2">
        <v>43.695652173912997</v>
      </c>
      <c r="W190" s="2">
        <v>45.5416666666666</v>
      </c>
      <c r="X190" s="2">
        <v>44.043478260869499</v>
      </c>
      <c r="Y190" s="2">
        <v>55.7868357487922</v>
      </c>
      <c r="Z190" s="2">
        <v>-0.38652856339305203</v>
      </c>
      <c r="AA190" s="2">
        <f>MAX(120*16*Z190/SUM(Z:Z),0.75)</f>
        <v>0.75</v>
      </c>
      <c r="AB190" s="2">
        <f>AA190-F190</f>
        <v>-1.03</v>
      </c>
    </row>
    <row r="191" spans="1:28" hidden="1" x14ac:dyDescent="0.25">
      <c r="A191" s="1">
        <v>1</v>
      </c>
      <c r="B191" s="1">
        <v>41</v>
      </c>
      <c r="C191" s="1" t="s">
        <v>224</v>
      </c>
      <c r="D191" s="1" t="s">
        <v>53</v>
      </c>
      <c r="E191" s="1">
        <v>21</v>
      </c>
      <c r="F191" s="1">
        <v>3.09</v>
      </c>
      <c r="G191" s="1">
        <v>2087</v>
      </c>
      <c r="H191" s="2">
        <v>23.0454844006568</v>
      </c>
      <c r="I191" s="2">
        <v>45.889490968801297</v>
      </c>
      <c r="J191" s="2">
        <v>56.018390804597701</v>
      </c>
      <c r="K191" s="2">
        <v>52.344417077175699</v>
      </c>
      <c r="L191" s="2">
        <v>47.789573070607503</v>
      </c>
      <c r="M191" s="2">
        <v>61.620525451559899</v>
      </c>
      <c r="N191" s="2">
        <v>61.428243021346397</v>
      </c>
      <c r="O191" s="2">
        <v>41.075041050903103</v>
      </c>
      <c r="P191" s="2">
        <v>34.278489326765097</v>
      </c>
      <c r="Q191" s="2">
        <v>49.157553366174</v>
      </c>
      <c r="R191" s="2">
        <v>36.182922824302103</v>
      </c>
      <c r="S191" s="2">
        <v>34.8257799671592</v>
      </c>
      <c r="T191" s="2">
        <v>34.340886699507301</v>
      </c>
      <c r="U191" s="2">
        <v>37.1251231527093</v>
      </c>
      <c r="V191" s="2">
        <v>39.2700328407225</v>
      </c>
      <c r="W191" s="2">
        <v>48.356978653530298</v>
      </c>
      <c r="X191" s="2">
        <v>40.975451559934299</v>
      </c>
      <c r="Y191" s="2">
        <v>43.115599343185501</v>
      </c>
      <c r="Z191" s="2">
        <v>-0.36606233662790899</v>
      </c>
      <c r="AA191" s="2">
        <f>MAX(120*16*Z191/SUM(Z:Z),0.75)</f>
        <v>0.75</v>
      </c>
      <c r="AB191" s="2">
        <f>AA191-F191</f>
        <v>-2.34</v>
      </c>
    </row>
    <row r="192" spans="1:28" hidden="1" x14ac:dyDescent="0.25">
      <c r="B192" s="1">
        <v>201</v>
      </c>
      <c r="C192" s="1" t="s">
        <v>234</v>
      </c>
      <c r="D192" s="1" t="s">
        <v>53</v>
      </c>
      <c r="E192" s="1">
        <v>24</v>
      </c>
      <c r="F192" s="1">
        <v>1.32</v>
      </c>
      <c r="G192" s="1">
        <v>2085</v>
      </c>
      <c r="H192" s="2">
        <v>24.3990476190476</v>
      </c>
      <c r="I192" s="2">
        <v>45.857142857142797</v>
      </c>
      <c r="J192" s="2">
        <v>53.683571428571398</v>
      </c>
      <c r="K192" s="2">
        <v>49.727857142857097</v>
      </c>
      <c r="L192" s="2">
        <v>47.879523809523803</v>
      </c>
      <c r="M192" s="2">
        <v>55.329523809523799</v>
      </c>
      <c r="N192" s="2">
        <v>53.7457142857142</v>
      </c>
      <c r="O192" s="2">
        <v>39.258333333333297</v>
      </c>
      <c r="P192" s="2">
        <v>35.5528571428571</v>
      </c>
      <c r="Q192" s="2">
        <v>50.174999999999997</v>
      </c>
      <c r="R192" s="2">
        <v>37.3707142857142</v>
      </c>
      <c r="S192" s="2">
        <v>35.476666666666603</v>
      </c>
      <c r="T192" s="2">
        <v>36.021190476190398</v>
      </c>
      <c r="U192" s="2">
        <v>43.807619047618999</v>
      </c>
      <c r="V192" s="2">
        <v>40.953333333333298</v>
      </c>
      <c r="W192" s="2">
        <v>50.391904761904698</v>
      </c>
      <c r="X192" s="2">
        <v>44.174285714285702</v>
      </c>
      <c r="Y192" s="2">
        <v>47.811190476190397</v>
      </c>
      <c r="Z192" s="2">
        <v>-0.281391578568851</v>
      </c>
      <c r="AA192" s="2">
        <f>MAX(120*16*Z192/SUM(Z:Z),0.75)</f>
        <v>0.75</v>
      </c>
      <c r="AB192" s="2">
        <f>AA192-F192</f>
        <v>-0.57000000000000006</v>
      </c>
    </row>
    <row r="193" spans="1:28" hidden="1" x14ac:dyDescent="0.25">
      <c r="A193" s="1">
        <v>1</v>
      </c>
      <c r="B193" s="1">
        <v>36</v>
      </c>
      <c r="C193" s="1" t="s">
        <v>235</v>
      </c>
      <c r="D193" s="1" t="s">
        <v>55</v>
      </c>
      <c r="E193" s="1">
        <v>21</v>
      </c>
      <c r="F193" s="1">
        <v>2.31</v>
      </c>
      <c r="G193" s="1">
        <v>2087</v>
      </c>
      <c r="H193" s="2">
        <v>23.154047619047599</v>
      </c>
      <c r="I193" s="2">
        <v>45.476547619047601</v>
      </c>
      <c r="J193" s="2">
        <v>55.5330952380952</v>
      </c>
      <c r="K193" s="2">
        <v>55.7238095238095</v>
      </c>
      <c r="L193" s="2">
        <v>47.226190476190403</v>
      </c>
      <c r="M193" s="2">
        <v>53.610357142857097</v>
      </c>
      <c r="N193" s="2">
        <v>53.199880952380902</v>
      </c>
      <c r="O193" s="2">
        <v>36.154523809523802</v>
      </c>
      <c r="P193" s="2">
        <v>36.218809523809497</v>
      </c>
      <c r="Q193" s="2">
        <v>47.792857142857102</v>
      </c>
      <c r="R193" s="2">
        <v>34.426666666666598</v>
      </c>
      <c r="S193" s="2">
        <v>34.661428571428502</v>
      </c>
      <c r="T193" s="2">
        <v>35.322023809523799</v>
      </c>
      <c r="U193" s="2">
        <v>41.165238095238003</v>
      </c>
      <c r="V193" s="2">
        <v>40.391428571428499</v>
      </c>
      <c r="W193" s="2">
        <v>48.395476190476103</v>
      </c>
      <c r="X193" s="2">
        <v>44.030357142857099</v>
      </c>
      <c r="Y193" s="2">
        <v>49.7360714285714</v>
      </c>
      <c r="Z193" s="2">
        <v>-2.3511812350909801E-2</v>
      </c>
      <c r="AA193" s="2">
        <f>MAX(120*16*Z193/SUM(Z:Z),0.75)</f>
        <v>0.75</v>
      </c>
      <c r="AB193" s="2">
        <f>AA193-F193</f>
        <v>-1.56</v>
      </c>
    </row>
    <row r="194" spans="1:28" hidden="1" x14ac:dyDescent="0.25">
      <c r="B194" s="1">
        <v>60</v>
      </c>
      <c r="C194" s="1" t="s">
        <v>236</v>
      </c>
      <c r="D194" s="1" t="s">
        <v>35</v>
      </c>
      <c r="E194" s="1">
        <v>21</v>
      </c>
      <c r="F194" s="1">
        <v>1.79</v>
      </c>
      <c r="G194" s="1">
        <v>2085</v>
      </c>
      <c r="H194" s="2">
        <v>22.776392632524701</v>
      </c>
      <c r="I194" s="2">
        <v>45.415004492362897</v>
      </c>
      <c r="J194" s="2">
        <v>56.670080862533602</v>
      </c>
      <c r="K194" s="2">
        <v>28.878032345013398</v>
      </c>
      <c r="L194" s="2">
        <v>46.4115229110512</v>
      </c>
      <c r="M194" s="2">
        <v>72.204424977538096</v>
      </c>
      <c r="N194" s="2">
        <v>70.513948787062006</v>
      </c>
      <c r="O194" s="2">
        <v>43.255503144654</v>
      </c>
      <c r="P194" s="2">
        <v>29.715071877807699</v>
      </c>
      <c r="Q194" s="2">
        <v>37.376347708894798</v>
      </c>
      <c r="R194" s="2">
        <v>47.293957771787902</v>
      </c>
      <c r="S194" s="2">
        <v>48.177852650494103</v>
      </c>
      <c r="T194" s="2">
        <v>47.490566037735803</v>
      </c>
      <c r="U194" s="2">
        <v>37.219721473494999</v>
      </c>
      <c r="V194" s="2">
        <v>38.014465408805002</v>
      </c>
      <c r="W194" s="2">
        <v>53.195709793351298</v>
      </c>
      <c r="X194" s="2">
        <v>52.105974842767203</v>
      </c>
      <c r="Y194" s="2">
        <v>38.636118598382701</v>
      </c>
      <c r="Z194" s="2">
        <v>-1.2805597096025101</v>
      </c>
      <c r="AA194" s="2">
        <f>MAX(120*16*Z194/SUM(Z:Z),0.75)</f>
        <v>0.75</v>
      </c>
      <c r="AB194" s="2">
        <f>AA194-F194</f>
        <v>-1.04</v>
      </c>
    </row>
    <row r="195" spans="1:28" hidden="1" x14ac:dyDescent="0.25">
      <c r="B195" s="1">
        <v>66</v>
      </c>
      <c r="C195" s="1" t="s">
        <v>226</v>
      </c>
      <c r="D195" s="1" t="s">
        <v>55</v>
      </c>
      <c r="E195" s="1">
        <v>24</v>
      </c>
      <c r="F195" s="1">
        <v>0.75</v>
      </c>
      <c r="G195" s="1">
        <v>2086</v>
      </c>
      <c r="H195" s="2">
        <v>23.602952602952598</v>
      </c>
      <c r="I195" s="2">
        <v>45.365578865578797</v>
      </c>
      <c r="J195" s="2">
        <v>55.4444444444444</v>
      </c>
      <c r="K195" s="2">
        <v>49.578865578865503</v>
      </c>
      <c r="L195" s="2">
        <v>48.016317016316997</v>
      </c>
      <c r="M195" s="2">
        <v>41.871406371406302</v>
      </c>
      <c r="N195" s="2">
        <v>41.578477078477</v>
      </c>
      <c r="O195" s="2">
        <v>39.127039627039601</v>
      </c>
      <c r="P195" s="2">
        <v>49.324786324786302</v>
      </c>
      <c r="Q195" s="2">
        <v>44.343434343434303</v>
      </c>
      <c r="R195" s="2">
        <v>40.169386169386101</v>
      </c>
      <c r="S195" s="2">
        <v>39.210955710955702</v>
      </c>
      <c r="T195" s="2">
        <v>42.128593628593599</v>
      </c>
      <c r="U195" s="2">
        <v>44.9778554778554</v>
      </c>
      <c r="V195" s="2">
        <v>47.144910644910603</v>
      </c>
      <c r="W195" s="2">
        <v>49.083916083916002</v>
      </c>
      <c r="X195" s="2">
        <v>48.085081585081497</v>
      </c>
      <c r="Y195" s="2">
        <v>59.693861693861699</v>
      </c>
      <c r="Z195" s="2">
        <v>-0.28714684695890402</v>
      </c>
      <c r="AA195" s="2">
        <f>MAX(120*16*Z195/SUM(Z:Z),0.75)</f>
        <v>0.75</v>
      </c>
      <c r="AB195" s="2">
        <f>AA195-F195</f>
        <v>0</v>
      </c>
    </row>
    <row r="196" spans="1:28" hidden="1" x14ac:dyDescent="0.25">
      <c r="B196" s="1">
        <v>51</v>
      </c>
      <c r="C196" s="1" t="s">
        <v>239</v>
      </c>
      <c r="D196" s="1" t="s">
        <v>37</v>
      </c>
      <c r="E196" s="1">
        <v>21</v>
      </c>
      <c r="F196" s="1">
        <v>1.19</v>
      </c>
      <c r="G196" s="1">
        <v>2085</v>
      </c>
      <c r="H196" s="2">
        <v>22.748461740200501</v>
      </c>
      <c r="I196" s="2">
        <v>45.012881034517498</v>
      </c>
      <c r="J196" s="2">
        <v>56.808933002481297</v>
      </c>
      <c r="K196" s="2">
        <v>33.523321027254902</v>
      </c>
      <c r="L196" s="2">
        <v>45.813613347051501</v>
      </c>
      <c r="M196" s="2">
        <v>70.183441263692998</v>
      </c>
      <c r="N196" s="2">
        <v>68.563335955940204</v>
      </c>
      <c r="O196" s="2">
        <v>40.7212269765377</v>
      </c>
      <c r="P196" s="2">
        <v>32.216708023159597</v>
      </c>
      <c r="Q196" s="2">
        <v>44.144989812180903</v>
      </c>
      <c r="R196" s="2">
        <v>45.841009501906399</v>
      </c>
      <c r="S196" s="2">
        <v>50.024178417962801</v>
      </c>
      <c r="T196" s="2">
        <v>45.136587383243501</v>
      </c>
      <c r="U196" s="2">
        <v>35.812211261070402</v>
      </c>
      <c r="V196" s="2">
        <v>37.1367286005366</v>
      </c>
      <c r="W196" s="2">
        <v>53.349886017470503</v>
      </c>
      <c r="X196" s="2">
        <v>49.718997760697199</v>
      </c>
      <c r="Y196" s="2">
        <v>40.661925800399402</v>
      </c>
      <c r="Z196" s="2">
        <v>-0.85204752870654898</v>
      </c>
      <c r="AA196" s="2">
        <f>MAX(120*16*Z196/SUM(Z:Z),0.75)</f>
        <v>0.75</v>
      </c>
      <c r="AB196" s="2">
        <f>AA196-F196</f>
        <v>-0.43999999999999995</v>
      </c>
    </row>
    <row r="197" spans="1:28" hidden="1" x14ac:dyDescent="0.25">
      <c r="A197" s="1">
        <v>1</v>
      </c>
      <c r="B197" s="1">
        <v>45</v>
      </c>
      <c r="C197" s="1" t="s">
        <v>238</v>
      </c>
      <c r="D197" s="1" t="s">
        <v>46</v>
      </c>
      <c r="E197" s="1">
        <v>21</v>
      </c>
      <c r="F197" s="1">
        <v>1.05</v>
      </c>
      <c r="G197" s="1">
        <v>2085</v>
      </c>
      <c r="H197" s="2">
        <v>23.029581529581499</v>
      </c>
      <c r="I197" s="2">
        <v>44.895382395382398</v>
      </c>
      <c r="J197" s="2">
        <v>56.189754689754601</v>
      </c>
      <c r="K197" s="2">
        <v>52.441558441558399</v>
      </c>
      <c r="L197" s="2">
        <v>49.273448773448699</v>
      </c>
      <c r="M197" s="2">
        <v>44.428571428571402</v>
      </c>
      <c r="N197" s="2">
        <v>44.119047619047599</v>
      </c>
      <c r="O197" s="2">
        <v>37.761904761904702</v>
      </c>
      <c r="P197" s="2">
        <v>47.6544011544011</v>
      </c>
      <c r="Q197" s="2">
        <v>46.909090909090899</v>
      </c>
      <c r="R197" s="2">
        <v>41.7777777777777</v>
      </c>
      <c r="S197" s="2">
        <v>39.689033189033097</v>
      </c>
      <c r="T197" s="2">
        <v>44.160894660894598</v>
      </c>
      <c r="U197" s="2">
        <v>43.4660894660894</v>
      </c>
      <c r="V197" s="2">
        <v>42.9336219336219</v>
      </c>
      <c r="W197" s="2">
        <v>46.967532467532401</v>
      </c>
      <c r="X197" s="2">
        <v>44.087301587301504</v>
      </c>
      <c r="Y197" s="2">
        <v>55.097402597402599</v>
      </c>
      <c r="Z197" s="2">
        <v>-0.20121722835150799</v>
      </c>
      <c r="AA197" s="2">
        <f>MAX(120*16*Z197/SUM(Z:Z),0.75)</f>
        <v>0.75</v>
      </c>
      <c r="AB197" s="2">
        <f>AA197-F197</f>
        <v>-0.30000000000000004</v>
      </c>
    </row>
    <row r="198" spans="1:28" hidden="1" x14ac:dyDescent="0.25">
      <c r="B198" s="1">
        <v>204</v>
      </c>
      <c r="C198" s="1" t="s">
        <v>240</v>
      </c>
      <c r="D198" s="1" t="s">
        <v>35</v>
      </c>
      <c r="E198" s="1">
        <v>23</v>
      </c>
      <c r="F198" s="1">
        <v>0.75</v>
      </c>
      <c r="G198" s="1">
        <v>2086</v>
      </c>
      <c r="H198" s="2">
        <v>23.953703703703699</v>
      </c>
      <c r="I198" s="2">
        <v>44.787037037037003</v>
      </c>
      <c r="J198" s="2">
        <v>53.5694444444444</v>
      </c>
      <c r="K198" s="2">
        <v>40.046296296296298</v>
      </c>
      <c r="L198" s="2">
        <v>45.074074074073998</v>
      </c>
      <c r="M198" s="2">
        <v>61.773148148148103</v>
      </c>
      <c r="N198" s="2">
        <v>61.101851851851798</v>
      </c>
      <c r="O198" s="2">
        <v>41.9583333333333</v>
      </c>
      <c r="P198" s="2">
        <v>31.560185185185102</v>
      </c>
      <c r="Q198" s="2">
        <v>40.587962962962898</v>
      </c>
      <c r="R198" s="2">
        <v>38.560185185185098</v>
      </c>
      <c r="S198" s="2">
        <v>34.2916666666666</v>
      </c>
      <c r="T198" s="2">
        <v>36.564814814814802</v>
      </c>
      <c r="U198" s="2">
        <v>43.449074074073998</v>
      </c>
      <c r="V198" s="2">
        <v>38.532407407407398</v>
      </c>
      <c r="W198" s="2">
        <v>54.9305555555555</v>
      </c>
      <c r="X198" s="2">
        <v>49.865740740740698</v>
      </c>
      <c r="Y198" s="2">
        <v>43.407407407407398</v>
      </c>
      <c r="Z198" s="2">
        <v>-0.39782666609970002</v>
      </c>
      <c r="AA198" s="2">
        <f>MAX(120*16*Z198/SUM(Z:Z),0.75)</f>
        <v>0.75</v>
      </c>
      <c r="AB198" s="2">
        <f>AA198-F198</f>
        <v>0</v>
      </c>
    </row>
    <row r="199" spans="1:28" hidden="1" x14ac:dyDescent="0.25">
      <c r="B199" s="1">
        <v>212</v>
      </c>
      <c r="C199" s="1" t="s">
        <v>246</v>
      </c>
      <c r="D199" s="1" t="s">
        <v>55</v>
      </c>
      <c r="E199" s="1">
        <v>24</v>
      </c>
      <c r="F199" s="1">
        <v>1.01</v>
      </c>
      <c r="G199" s="1">
        <v>2085</v>
      </c>
      <c r="H199" s="2">
        <v>24.115151515151499</v>
      </c>
      <c r="I199" s="2">
        <v>44.284848484848403</v>
      </c>
      <c r="J199" s="2">
        <v>53.509090909090901</v>
      </c>
      <c r="K199" s="2">
        <v>52.621212121212103</v>
      </c>
      <c r="L199" s="2">
        <v>47.006060606060601</v>
      </c>
      <c r="M199" s="2">
        <v>47.318181818181799</v>
      </c>
      <c r="N199" s="2">
        <v>46.275757575757503</v>
      </c>
      <c r="O199" s="2">
        <v>38.348484848484802</v>
      </c>
      <c r="P199" s="2">
        <v>44.121212121212103</v>
      </c>
      <c r="Q199" s="2">
        <v>46.169696969696901</v>
      </c>
      <c r="R199" s="2">
        <v>35.809090909090898</v>
      </c>
      <c r="S199" s="2">
        <v>34.693939393939303</v>
      </c>
      <c r="T199" s="2">
        <v>38.648484848484799</v>
      </c>
      <c r="U199" s="2">
        <v>43.184848484848402</v>
      </c>
      <c r="V199" s="2">
        <v>43.554545454545398</v>
      </c>
      <c r="W199" s="2">
        <v>47.7515151515151</v>
      </c>
      <c r="X199" s="2">
        <v>43.739393939393899</v>
      </c>
      <c r="Y199" s="2">
        <v>50.172727272727201</v>
      </c>
      <c r="Z199" s="2">
        <v>-0.12170270811598199</v>
      </c>
      <c r="AA199" s="2">
        <f>MAX(120*16*Z199/SUM(Z:Z),0.75)</f>
        <v>0.75</v>
      </c>
      <c r="AB199" s="2">
        <f>AA199-F199</f>
        <v>-0.26</v>
      </c>
    </row>
    <row r="200" spans="1:28" hidden="1" x14ac:dyDescent="0.25">
      <c r="B200" s="1">
        <v>56</v>
      </c>
      <c r="C200" s="1" t="s">
        <v>237</v>
      </c>
      <c r="D200" s="1" t="s">
        <v>37</v>
      </c>
      <c r="E200" s="1">
        <v>22</v>
      </c>
      <c r="F200" s="1">
        <v>2.83</v>
      </c>
      <c r="G200" s="1">
        <v>2087</v>
      </c>
      <c r="H200" s="2">
        <v>23.270593869731801</v>
      </c>
      <c r="I200" s="2">
        <v>44.062739463601503</v>
      </c>
      <c r="J200" s="2">
        <v>54.9444444444444</v>
      </c>
      <c r="K200" s="2">
        <v>48.966475095785398</v>
      </c>
      <c r="L200" s="2">
        <v>50.320881226053601</v>
      </c>
      <c r="M200" s="2">
        <v>59.911398467432903</v>
      </c>
      <c r="N200" s="2">
        <v>55.389846743295003</v>
      </c>
      <c r="O200" s="2">
        <v>36.761494252873497</v>
      </c>
      <c r="P200" s="2">
        <v>39.264846743295003</v>
      </c>
      <c r="Q200" s="2">
        <v>49.185823754789197</v>
      </c>
      <c r="R200" s="2">
        <v>39.734195402298802</v>
      </c>
      <c r="S200" s="2">
        <v>42.348659003831401</v>
      </c>
      <c r="T200" s="2">
        <v>38.433429118773901</v>
      </c>
      <c r="U200" s="2">
        <v>39.294061302681897</v>
      </c>
      <c r="V200" s="2">
        <v>38.1312260536398</v>
      </c>
      <c r="W200" s="2">
        <v>42.3596743295019</v>
      </c>
      <c r="X200" s="2">
        <v>39.988984674329501</v>
      </c>
      <c r="Y200" s="2">
        <v>40.795498084291097</v>
      </c>
      <c r="Z200" s="2">
        <v>-0.31054424251449197</v>
      </c>
      <c r="AA200" s="2">
        <f>MAX(120*16*Z200/SUM(Z:Z),0.75)</f>
        <v>0.75</v>
      </c>
      <c r="AB200" s="2">
        <f>AA200-F200</f>
        <v>-2.08</v>
      </c>
    </row>
    <row r="201" spans="1:28" hidden="1" x14ac:dyDescent="0.25">
      <c r="B201" s="1">
        <v>209</v>
      </c>
      <c r="C201" s="1" t="s">
        <v>241</v>
      </c>
      <c r="D201" s="1" t="s">
        <v>37</v>
      </c>
      <c r="E201" s="1">
        <v>23</v>
      </c>
      <c r="F201" s="1">
        <v>0.75</v>
      </c>
      <c r="G201" s="1">
        <v>2086</v>
      </c>
      <c r="H201" s="2">
        <v>23.633040935672501</v>
      </c>
      <c r="I201" s="2">
        <v>43.940643274853798</v>
      </c>
      <c r="J201" s="2">
        <v>53.228947368420997</v>
      </c>
      <c r="K201" s="2">
        <v>46.447953216374202</v>
      </c>
      <c r="L201" s="2">
        <v>45.168421052631501</v>
      </c>
      <c r="M201" s="2">
        <v>61.189181286549697</v>
      </c>
      <c r="N201" s="2">
        <v>57.697953216374202</v>
      </c>
      <c r="O201" s="2">
        <v>38.990935672514603</v>
      </c>
      <c r="P201" s="2">
        <v>32.461111111111101</v>
      </c>
      <c r="Q201" s="2">
        <v>48.0964912280701</v>
      </c>
      <c r="R201" s="2">
        <v>36.424561403508697</v>
      </c>
      <c r="S201" s="2">
        <v>34.15</v>
      </c>
      <c r="T201" s="2">
        <v>35.248538011695899</v>
      </c>
      <c r="U201" s="2">
        <v>41.065497076023398</v>
      </c>
      <c r="V201" s="2">
        <v>38.896198830409297</v>
      </c>
      <c r="W201" s="2">
        <v>49.418421052631501</v>
      </c>
      <c r="X201" s="2">
        <v>41.7491228070175</v>
      </c>
      <c r="Y201" s="2">
        <v>40.880409356725103</v>
      </c>
      <c r="Z201" s="2">
        <v>-0.45446984026800102</v>
      </c>
      <c r="AA201" s="2">
        <f>MAX(120*16*Z201/SUM(Z:Z),0.75)</f>
        <v>0.75</v>
      </c>
      <c r="AB201" s="2">
        <f>AA201-F201</f>
        <v>0</v>
      </c>
    </row>
    <row r="202" spans="1:28" hidden="1" x14ac:dyDescent="0.25">
      <c r="B202" s="1">
        <v>222</v>
      </c>
      <c r="C202" s="1" t="s">
        <v>244</v>
      </c>
      <c r="D202" s="1" t="s">
        <v>46</v>
      </c>
      <c r="E202" s="1">
        <v>24</v>
      </c>
      <c r="F202" s="1">
        <v>0.75</v>
      </c>
      <c r="G202" s="1">
        <v>2085</v>
      </c>
      <c r="H202" s="2">
        <v>23.7472804972804</v>
      </c>
      <c r="I202" s="2">
        <v>43.794774669774597</v>
      </c>
      <c r="J202" s="2">
        <v>53.846736596736598</v>
      </c>
      <c r="K202" s="2">
        <v>54.498591686091601</v>
      </c>
      <c r="L202" s="2">
        <v>50.319153069153003</v>
      </c>
      <c r="M202" s="2">
        <v>51.378885003885003</v>
      </c>
      <c r="N202" s="2">
        <v>49.193910256410199</v>
      </c>
      <c r="O202" s="2">
        <v>38.272678710178702</v>
      </c>
      <c r="P202" s="2">
        <v>42.534139471639399</v>
      </c>
      <c r="Q202" s="2">
        <v>49.636703574203501</v>
      </c>
      <c r="R202" s="2">
        <v>33.230672105672099</v>
      </c>
      <c r="S202" s="2">
        <v>32.439685314685299</v>
      </c>
      <c r="T202" s="2">
        <v>32.212946775446703</v>
      </c>
      <c r="U202" s="2">
        <v>40.969842657342603</v>
      </c>
      <c r="V202" s="2">
        <v>39.967560217560198</v>
      </c>
      <c r="W202" s="2">
        <v>45.461198523698499</v>
      </c>
      <c r="X202" s="2">
        <v>42.293463480963403</v>
      </c>
      <c r="Y202" s="2">
        <v>49.540792540792502</v>
      </c>
      <c r="Z202" s="2">
        <v>-0.21941117677389099</v>
      </c>
      <c r="AA202" s="2">
        <f>MAX(120*16*Z202/SUM(Z:Z),0.75)</f>
        <v>0.75</v>
      </c>
      <c r="AB202" s="2">
        <f>AA202-F202</f>
        <v>0</v>
      </c>
    </row>
    <row r="203" spans="1:28" hidden="1" x14ac:dyDescent="0.25">
      <c r="B203" s="1">
        <v>61</v>
      </c>
      <c r="C203" s="1" t="s">
        <v>242</v>
      </c>
      <c r="D203" s="1" t="s">
        <v>43</v>
      </c>
      <c r="E203" s="1">
        <v>23</v>
      </c>
      <c r="F203" s="1">
        <v>1.38</v>
      </c>
      <c r="G203" s="1">
        <v>2086</v>
      </c>
      <c r="H203" s="2">
        <v>23.173076923076898</v>
      </c>
      <c r="I203" s="2">
        <v>43.683760683760603</v>
      </c>
      <c r="J203" s="2">
        <v>54.735042735042697</v>
      </c>
      <c r="K203" s="2">
        <v>53.301282051282001</v>
      </c>
      <c r="L203" s="2">
        <v>51.608974358974301</v>
      </c>
      <c r="M203" s="2">
        <v>49.254273504273499</v>
      </c>
      <c r="N203" s="2">
        <v>48.997863247863201</v>
      </c>
      <c r="O203" s="2">
        <v>38.767094017094003</v>
      </c>
      <c r="P203" s="2">
        <v>48.08547008547</v>
      </c>
      <c r="Q203" s="2">
        <v>50.487179487179397</v>
      </c>
      <c r="R203" s="2">
        <v>35.354700854700802</v>
      </c>
      <c r="S203" s="2">
        <v>34.970085470085401</v>
      </c>
      <c r="T203" s="2">
        <v>35.070512820512803</v>
      </c>
      <c r="U203" s="2">
        <v>39.068376068375997</v>
      </c>
      <c r="V203" s="2">
        <v>41.442307692307601</v>
      </c>
      <c r="W203" s="2">
        <v>44.844017094016998</v>
      </c>
      <c r="X203" s="2">
        <v>42.070512820512803</v>
      </c>
      <c r="Y203" s="2">
        <v>51.269230769230703</v>
      </c>
      <c r="Z203" s="2">
        <v>-0.31476930969334399</v>
      </c>
      <c r="AA203" s="2">
        <f>MAX(120*16*Z203/SUM(Z:Z),0.75)</f>
        <v>0.75</v>
      </c>
      <c r="AB203" s="2">
        <f>AA203-F203</f>
        <v>-0.62999999999999989</v>
      </c>
    </row>
    <row r="204" spans="1:28" hidden="1" x14ac:dyDescent="0.25">
      <c r="B204" s="1">
        <v>73</v>
      </c>
      <c r="C204" s="1" t="s">
        <v>243</v>
      </c>
      <c r="D204" s="1" t="s">
        <v>41</v>
      </c>
      <c r="E204" s="1">
        <v>26</v>
      </c>
      <c r="F204" s="1">
        <v>0.75</v>
      </c>
      <c r="G204" s="1">
        <v>2086</v>
      </c>
      <c r="H204" s="2">
        <v>25.105820105820101</v>
      </c>
      <c r="I204" s="2">
        <v>43.431216931216902</v>
      </c>
      <c r="J204" s="2">
        <v>51.552910052910001</v>
      </c>
      <c r="K204" s="2">
        <v>43.5026455026455</v>
      </c>
      <c r="L204" s="2">
        <v>46.185185185185098</v>
      </c>
      <c r="M204" s="2">
        <v>58.259259259259203</v>
      </c>
      <c r="N204" s="2">
        <v>55.211640211640201</v>
      </c>
      <c r="O204" s="2">
        <v>42.5</v>
      </c>
      <c r="P204" s="2">
        <v>37.174603174603099</v>
      </c>
      <c r="Q204" s="2">
        <v>47.579365079364997</v>
      </c>
      <c r="R204" s="2">
        <v>36.346560846560799</v>
      </c>
      <c r="S204" s="2">
        <v>34.3888888888888</v>
      </c>
      <c r="T204" s="2">
        <v>35.574074074073998</v>
      </c>
      <c r="U204" s="2">
        <v>40.828042328042301</v>
      </c>
      <c r="V204" s="2">
        <v>39.931216931216902</v>
      </c>
      <c r="W204" s="2">
        <v>49.193121693121597</v>
      </c>
      <c r="X204" s="2">
        <v>44.029100529100504</v>
      </c>
      <c r="Y204" s="2">
        <v>41.566137566137499</v>
      </c>
      <c r="Z204" s="2">
        <v>-0.35590209873131301</v>
      </c>
      <c r="AA204" s="2">
        <f>MAX(120*16*Z204/SUM(Z:Z),0.75)</f>
        <v>0.75</v>
      </c>
      <c r="AB204" s="2">
        <f>AA204-F204</f>
        <v>0</v>
      </c>
    </row>
    <row r="205" spans="1:28" hidden="1" x14ac:dyDescent="0.25">
      <c r="B205" s="1">
        <v>57</v>
      </c>
      <c r="C205" s="1" t="s">
        <v>251</v>
      </c>
      <c r="D205" s="1" t="s">
        <v>55</v>
      </c>
      <c r="E205" s="1">
        <v>21</v>
      </c>
      <c r="F205" s="1">
        <v>0.75</v>
      </c>
      <c r="G205" s="1">
        <v>2085</v>
      </c>
      <c r="H205" s="2">
        <v>22.6666666666666</v>
      </c>
      <c r="I205" s="2">
        <v>43.261904761904702</v>
      </c>
      <c r="J205" s="2">
        <v>55.123809523809499</v>
      </c>
      <c r="K205" s="2">
        <v>54.2809523809523</v>
      </c>
      <c r="L205" s="2">
        <v>47.019047619047598</v>
      </c>
      <c r="M205" s="2">
        <v>51.680952380952299</v>
      </c>
      <c r="N205" s="2">
        <v>51.0571428571428</v>
      </c>
      <c r="O205" s="2">
        <v>35.190476190476097</v>
      </c>
      <c r="P205" s="2">
        <v>37.585714285714197</v>
      </c>
      <c r="Q205" s="2">
        <v>47.604761904761901</v>
      </c>
      <c r="R205" s="2">
        <v>36.990476190476102</v>
      </c>
      <c r="S205" s="2">
        <v>38.619047619047599</v>
      </c>
      <c r="T205" s="2">
        <v>37.4</v>
      </c>
      <c r="U205" s="2">
        <v>38.299999999999997</v>
      </c>
      <c r="V205" s="2">
        <v>39.6666666666666</v>
      </c>
      <c r="W205" s="2">
        <v>47.352380952380898</v>
      </c>
      <c r="X205" s="2">
        <v>41.919047619047603</v>
      </c>
      <c r="Y205" s="2">
        <v>48.238095238095198</v>
      </c>
      <c r="Z205" s="2">
        <v>-0.26222451722102103</v>
      </c>
      <c r="AA205" s="2">
        <f>MAX(120*16*Z205/SUM(Z:Z),0.75)</f>
        <v>0.75</v>
      </c>
      <c r="AB205" s="2">
        <f>AA205-F205</f>
        <v>0</v>
      </c>
    </row>
    <row r="206" spans="1:28" hidden="1" x14ac:dyDescent="0.25">
      <c r="A206" s="1">
        <v>1</v>
      </c>
      <c r="B206" s="1">
        <v>178</v>
      </c>
      <c r="C206" s="1" t="s">
        <v>247</v>
      </c>
      <c r="D206" s="1" t="s">
        <v>53</v>
      </c>
      <c r="E206" s="1">
        <v>22</v>
      </c>
      <c r="F206" s="1">
        <v>2.15</v>
      </c>
      <c r="G206" s="1">
        <v>2085</v>
      </c>
      <c r="H206" s="2">
        <v>23.278121775025799</v>
      </c>
      <c r="I206" s="2">
        <v>42.935500515995798</v>
      </c>
      <c r="J206" s="2">
        <v>53.960784313725398</v>
      </c>
      <c r="K206" s="2">
        <v>49.377708978328101</v>
      </c>
      <c r="L206" s="2">
        <v>44.275025799793603</v>
      </c>
      <c r="M206" s="2">
        <v>54.712590299277601</v>
      </c>
      <c r="N206" s="2">
        <v>53.706398348813202</v>
      </c>
      <c r="O206" s="2">
        <v>34.847265221878203</v>
      </c>
      <c r="P206" s="2">
        <v>34.117131062951401</v>
      </c>
      <c r="Q206" s="2">
        <v>45.514447884416903</v>
      </c>
      <c r="R206" s="2">
        <v>42.187306501547901</v>
      </c>
      <c r="S206" s="2">
        <v>38.791021671826599</v>
      </c>
      <c r="T206" s="2">
        <v>42.657378740970003</v>
      </c>
      <c r="U206" s="2">
        <v>40.729618163054603</v>
      </c>
      <c r="V206" s="2">
        <v>38.074819401444699</v>
      </c>
      <c r="W206" s="2">
        <v>47.196594427244499</v>
      </c>
      <c r="X206" s="2">
        <v>40.8802889576883</v>
      </c>
      <c r="Y206" s="2">
        <v>42.6914344685242</v>
      </c>
      <c r="Z206" s="2">
        <v>-9.2447615971928201E-2</v>
      </c>
      <c r="AA206" s="2">
        <f>MAX(120*16*Z206/SUM(Z:Z),0.75)</f>
        <v>0.75</v>
      </c>
      <c r="AB206" s="2">
        <f>AA206-F206</f>
        <v>-1.4</v>
      </c>
    </row>
    <row r="207" spans="1:28" x14ac:dyDescent="0.25">
      <c r="B207" s="1">
        <v>229</v>
      </c>
      <c r="C207" s="1" t="s">
        <v>245</v>
      </c>
      <c r="D207" s="1" t="s">
        <v>55</v>
      </c>
      <c r="E207" s="1">
        <v>26</v>
      </c>
      <c r="F207" s="1">
        <v>0.75</v>
      </c>
      <c r="G207" s="1">
        <v>2086</v>
      </c>
      <c r="H207" s="2">
        <v>24.387605042016801</v>
      </c>
      <c r="I207" s="2">
        <v>42.919701213818797</v>
      </c>
      <c r="J207" s="2">
        <v>50.670985060690903</v>
      </c>
      <c r="K207" s="2">
        <v>50.418417366946699</v>
      </c>
      <c r="L207" s="2">
        <v>46.3685807656395</v>
      </c>
      <c r="M207" s="2">
        <v>58.591036414565799</v>
      </c>
      <c r="N207" s="2">
        <v>55.688258636787999</v>
      </c>
      <c r="O207" s="2">
        <v>39.877334267040098</v>
      </c>
      <c r="P207" s="2">
        <v>34.1456582633053</v>
      </c>
      <c r="Q207" s="2">
        <v>47.528594771241799</v>
      </c>
      <c r="R207" s="2">
        <v>40.623482726423902</v>
      </c>
      <c r="S207" s="2">
        <v>39.953081232492998</v>
      </c>
      <c r="T207" s="2">
        <v>37.714752567693701</v>
      </c>
      <c r="U207" s="2">
        <v>37.223272642390199</v>
      </c>
      <c r="V207" s="2">
        <v>36.935690943043802</v>
      </c>
      <c r="W207" s="2">
        <v>46.314425770308098</v>
      </c>
      <c r="X207" s="2">
        <v>39.268090569561103</v>
      </c>
      <c r="Y207" s="2">
        <v>39.751517273576098</v>
      </c>
      <c r="Z207" s="2">
        <v>-0.26919655951677002</v>
      </c>
      <c r="AA207" s="2">
        <f>MAX(120*16*Z207/SUM(Z:Z),0.75)</f>
        <v>0.75</v>
      </c>
      <c r="AB207" s="2">
        <f>AA207-F207</f>
        <v>0</v>
      </c>
    </row>
    <row r="208" spans="1:28" hidden="1" x14ac:dyDescent="0.25">
      <c r="A208" s="1">
        <v>1</v>
      </c>
      <c r="B208" s="1">
        <v>230</v>
      </c>
      <c r="C208" s="1" t="s">
        <v>248</v>
      </c>
      <c r="D208" s="1" t="s">
        <v>41</v>
      </c>
      <c r="E208" s="1">
        <v>20</v>
      </c>
      <c r="F208" s="1">
        <v>0.83</v>
      </c>
      <c r="G208" s="1">
        <v>2085</v>
      </c>
      <c r="H208" s="2">
        <v>22.0879382055852</v>
      </c>
      <c r="I208" s="2">
        <v>42.915032679738502</v>
      </c>
      <c r="J208" s="2">
        <v>57.573975044563198</v>
      </c>
      <c r="K208" s="2">
        <v>35.087938205585203</v>
      </c>
      <c r="L208" s="2">
        <v>42.9245395127748</v>
      </c>
      <c r="M208" s="2">
        <v>62.446524064171101</v>
      </c>
      <c r="N208" s="2">
        <v>61.636066547831199</v>
      </c>
      <c r="O208" s="2">
        <v>37.275995246583399</v>
      </c>
      <c r="P208" s="2">
        <v>31.173796791443799</v>
      </c>
      <c r="Q208" s="2">
        <v>38.825609031491297</v>
      </c>
      <c r="R208" s="2">
        <v>48.213606654783099</v>
      </c>
      <c r="S208" s="2">
        <v>49.265300059417697</v>
      </c>
      <c r="T208" s="2">
        <v>49.8778966131907</v>
      </c>
      <c r="U208" s="2">
        <v>37.7976827094474</v>
      </c>
      <c r="V208" s="2">
        <v>36.514557338086703</v>
      </c>
      <c r="W208" s="2">
        <v>54.588532382650001</v>
      </c>
      <c r="X208" s="2">
        <v>50.1556743909685</v>
      </c>
      <c r="Y208" s="2">
        <v>41.456625074272097</v>
      </c>
      <c r="Z208" s="2">
        <v>-0.76441207418717405</v>
      </c>
      <c r="AA208" s="2">
        <f>MAX(120*16*Z208/SUM(Z:Z),0.75)</f>
        <v>0.75</v>
      </c>
      <c r="AB208" s="2">
        <f>AA208-F208</f>
        <v>-7.999999999999996E-2</v>
      </c>
    </row>
    <row r="209" spans="1:28" hidden="1" x14ac:dyDescent="0.25">
      <c r="B209" s="1">
        <v>176</v>
      </c>
      <c r="C209" s="1" t="s">
        <v>252</v>
      </c>
      <c r="D209" s="1" t="s">
        <v>53</v>
      </c>
      <c r="E209" s="1">
        <v>22</v>
      </c>
      <c r="F209" s="1">
        <v>1.45</v>
      </c>
      <c r="G209" s="1">
        <v>2085</v>
      </c>
      <c r="H209" s="2">
        <v>22.9666412019353</v>
      </c>
      <c r="I209" s="2">
        <v>42.621891180714698</v>
      </c>
      <c r="J209" s="2">
        <v>55.196290637467101</v>
      </c>
      <c r="K209" s="2">
        <v>49.352983617689397</v>
      </c>
      <c r="L209" s="2">
        <v>51.233129615482497</v>
      </c>
      <c r="M209" s="2">
        <v>47.769416857652097</v>
      </c>
      <c r="N209" s="2">
        <v>45.104023427552796</v>
      </c>
      <c r="O209" s="2">
        <v>38.430608607079101</v>
      </c>
      <c r="P209" s="2">
        <v>50.845513963160997</v>
      </c>
      <c r="Q209" s="2">
        <v>49.934173669467697</v>
      </c>
      <c r="R209" s="2">
        <v>33.862448009506799</v>
      </c>
      <c r="S209" s="2">
        <v>32.553263729734297</v>
      </c>
      <c r="T209" s="2">
        <v>33.733087174263602</v>
      </c>
      <c r="U209" s="2">
        <v>43.851243527714097</v>
      </c>
      <c r="V209" s="2">
        <v>40.082166199813202</v>
      </c>
      <c r="W209" s="2">
        <v>45.519225872166999</v>
      </c>
      <c r="X209" s="2">
        <v>43.502588914353602</v>
      </c>
      <c r="Y209" s="2">
        <v>54.050250403191498</v>
      </c>
      <c r="Z209" s="2">
        <v>-0.24869104482985799</v>
      </c>
      <c r="AA209" s="2">
        <f>MAX(120*16*Z209/SUM(Z:Z),0.75)</f>
        <v>0.75</v>
      </c>
      <c r="AB209" s="2">
        <f>AA209-F209</f>
        <v>-0.7</v>
      </c>
    </row>
    <row r="210" spans="1:28" hidden="1" x14ac:dyDescent="0.25">
      <c r="B210" s="1">
        <v>159</v>
      </c>
      <c r="C210" s="1" t="s">
        <v>255</v>
      </c>
      <c r="D210" s="1" t="s">
        <v>75</v>
      </c>
      <c r="E210" s="1">
        <v>21</v>
      </c>
      <c r="F210" s="1">
        <v>2.0499999999999998</v>
      </c>
      <c r="G210" s="1">
        <v>2085</v>
      </c>
      <c r="H210" s="2">
        <v>22.186117467581902</v>
      </c>
      <c r="I210" s="2">
        <v>42.618306636155602</v>
      </c>
      <c r="J210" s="2">
        <v>56.827307398932099</v>
      </c>
      <c r="K210" s="2">
        <v>35.3705568268497</v>
      </c>
      <c r="L210" s="2">
        <v>42.709687261632297</v>
      </c>
      <c r="M210" s="2">
        <v>66.250495804729198</v>
      </c>
      <c r="N210" s="2">
        <v>65.101144164759702</v>
      </c>
      <c r="O210" s="2">
        <v>35.9682684973302</v>
      </c>
      <c r="P210" s="2">
        <v>31.043783371472099</v>
      </c>
      <c r="Q210" s="2">
        <v>34.034630053394302</v>
      </c>
      <c r="R210" s="2">
        <v>45.060564454614799</v>
      </c>
      <c r="S210" s="2">
        <v>44.684668192219597</v>
      </c>
      <c r="T210" s="2">
        <v>42.354385964912197</v>
      </c>
      <c r="U210" s="2">
        <v>35.371929824561398</v>
      </c>
      <c r="V210" s="2">
        <v>35.775286041189901</v>
      </c>
      <c r="W210" s="2">
        <v>58.110450038138801</v>
      </c>
      <c r="X210" s="2">
        <v>54.9145690312738</v>
      </c>
      <c r="Y210" s="2">
        <v>40.791609458428603</v>
      </c>
      <c r="Z210" s="2">
        <v>-0.52017778250745705</v>
      </c>
      <c r="AA210" s="2">
        <f>MAX(120*16*Z210/SUM(Z:Z),0.75)</f>
        <v>0.75</v>
      </c>
      <c r="AB210" s="2">
        <f>AA210-F210</f>
        <v>-1.2999999999999998</v>
      </c>
    </row>
    <row r="211" spans="1:28" hidden="1" x14ac:dyDescent="0.25">
      <c r="B211" s="1">
        <v>186</v>
      </c>
      <c r="C211" s="1" t="s">
        <v>249</v>
      </c>
      <c r="D211" s="1" t="s">
        <v>37</v>
      </c>
      <c r="E211" s="1">
        <v>22</v>
      </c>
      <c r="F211" s="1">
        <v>0.75</v>
      </c>
      <c r="G211" s="1">
        <v>2085</v>
      </c>
      <c r="H211" s="2">
        <v>22.9688034188034</v>
      </c>
      <c r="I211" s="2">
        <v>42.607264957264903</v>
      </c>
      <c r="J211" s="2">
        <v>54.294444444444402</v>
      </c>
      <c r="K211" s="2">
        <v>37.273931623931603</v>
      </c>
      <c r="L211" s="2">
        <v>43.806410256410203</v>
      </c>
      <c r="M211" s="2">
        <v>59.005982905982897</v>
      </c>
      <c r="N211" s="2">
        <v>58.234188034188001</v>
      </c>
      <c r="O211" s="2">
        <v>38.344017094016998</v>
      </c>
      <c r="P211" s="2">
        <v>32.094017094017097</v>
      </c>
      <c r="Q211" s="2">
        <v>40.870940170940102</v>
      </c>
      <c r="R211" s="2">
        <v>43.623931623931597</v>
      </c>
      <c r="S211" s="2">
        <v>48.586324786324703</v>
      </c>
      <c r="T211" s="2">
        <v>43.686752136752098</v>
      </c>
      <c r="U211" s="2">
        <v>39.384615384615302</v>
      </c>
      <c r="V211" s="2">
        <v>39.177350427350397</v>
      </c>
      <c r="W211" s="2">
        <v>53.033760683760597</v>
      </c>
      <c r="X211" s="2">
        <v>48.0346153846153</v>
      </c>
      <c r="Y211" s="2">
        <v>44.051709401709402</v>
      </c>
      <c r="Z211" s="2">
        <v>-0.58250174475244898</v>
      </c>
      <c r="AA211" s="2">
        <f>MAX(120*16*Z211/SUM(Z:Z),0.75)</f>
        <v>0.75</v>
      </c>
      <c r="AB211" s="2">
        <f>AA211-F211</f>
        <v>0</v>
      </c>
    </row>
    <row r="212" spans="1:28" x14ac:dyDescent="0.25">
      <c r="B212" s="1">
        <v>188</v>
      </c>
      <c r="C212" s="1" t="s">
        <v>250</v>
      </c>
      <c r="D212" s="1" t="s">
        <v>53</v>
      </c>
      <c r="E212" s="1">
        <v>23</v>
      </c>
      <c r="F212" s="1">
        <v>0.75</v>
      </c>
      <c r="G212" s="1">
        <v>2086</v>
      </c>
      <c r="H212" s="2">
        <v>23.305131044665899</v>
      </c>
      <c r="I212" s="2">
        <v>42.274418604651103</v>
      </c>
      <c r="J212" s="2">
        <v>53.983167220376501</v>
      </c>
      <c r="K212" s="2">
        <v>42.422812846068602</v>
      </c>
      <c r="L212" s="2">
        <v>47.413215208563997</v>
      </c>
      <c r="M212" s="2">
        <v>58.423255813953404</v>
      </c>
      <c r="N212" s="2">
        <v>56.227759320782503</v>
      </c>
      <c r="O212" s="2">
        <v>38.848874123292703</v>
      </c>
      <c r="P212" s="2">
        <v>39.350461424880002</v>
      </c>
      <c r="Q212" s="2">
        <v>43.8962716869693</v>
      </c>
      <c r="R212" s="2">
        <v>38.568770764119598</v>
      </c>
      <c r="S212" s="2">
        <v>38.638316722037601</v>
      </c>
      <c r="T212" s="2">
        <v>36.075599852343998</v>
      </c>
      <c r="U212" s="2">
        <v>38.210335917312598</v>
      </c>
      <c r="V212" s="2">
        <v>39.348984865263901</v>
      </c>
      <c r="W212" s="2">
        <v>49.764784053156099</v>
      </c>
      <c r="X212" s="2">
        <v>45.010705057216597</v>
      </c>
      <c r="Y212" s="2">
        <v>44.040310077519301</v>
      </c>
      <c r="Z212" s="2">
        <v>-0.26275477073815501</v>
      </c>
      <c r="AA212" s="2">
        <f>MAX(120*16*Z212/SUM(Z:Z),0.75)</f>
        <v>0.75</v>
      </c>
      <c r="AB212" s="2">
        <f>AA212-F212</f>
        <v>0</v>
      </c>
    </row>
    <row r="213" spans="1:28" hidden="1" x14ac:dyDescent="0.25">
      <c r="B213" s="1">
        <v>75</v>
      </c>
      <c r="C213" s="1" t="s">
        <v>253</v>
      </c>
      <c r="D213" s="1" t="s">
        <v>35</v>
      </c>
      <c r="E213" s="1">
        <v>23</v>
      </c>
      <c r="F213" s="1">
        <v>0.75</v>
      </c>
      <c r="G213" s="1">
        <v>2085</v>
      </c>
      <c r="H213" s="2">
        <v>22.590252340252299</v>
      </c>
      <c r="I213" s="2">
        <v>41.636243386243301</v>
      </c>
      <c r="J213" s="2">
        <v>54.528795278795201</v>
      </c>
      <c r="K213" s="2">
        <v>33.777370777370699</v>
      </c>
      <c r="L213" s="2">
        <v>42.462759462759401</v>
      </c>
      <c r="M213" s="2">
        <v>64.996031746031704</v>
      </c>
      <c r="N213" s="2">
        <v>64.989214489214405</v>
      </c>
      <c r="O213" s="2">
        <v>37.224257224257201</v>
      </c>
      <c r="P213" s="2">
        <v>29.843813593813501</v>
      </c>
      <c r="Q213" s="2">
        <v>36.6561864061864</v>
      </c>
      <c r="R213" s="2">
        <v>48.944749694749603</v>
      </c>
      <c r="S213" s="2">
        <v>48.0340862840862</v>
      </c>
      <c r="T213" s="2">
        <v>49.011497761497701</v>
      </c>
      <c r="U213" s="2">
        <v>35.090455840455803</v>
      </c>
      <c r="V213" s="2">
        <v>36.013227513227498</v>
      </c>
      <c r="W213" s="2">
        <v>52.138481888481799</v>
      </c>
      <c r="X213" s="2">
        <v>47.847883597883502</v>
      </c>
      <c r="Y213" s="2">
        <v>38.180504680504598</v>
      </c>
      <c r="Z213" s="2">
        <v>-0.43774662449663498</v>
      </c>
      <c r="AA213" s="2">
        <f>MAX(120*16*Z213/SUM(Z:Z),0.75)</f>
        <v>0.75</v>
      </c>
      <c r="AB213" s="2">
        <f>AA213-F213</f>
        <v>0</v>
      </c>
    </row>
    <row r="214" spans="1:28" hidden="1" x14ac:dyDescent="0.25">
      <c r="A214" s="1">
        <v>1</v>
      </c>
      <c r="B214" s="1">
        <v>213</v>
      </c>
      <c r="C214" s="1" t="s">
        <v>257</v>
      </c>
      <c r="D214" s="1" t="s">
        <v>55</v>
      </c>
      <c r="E214" s="1">
        <v>26</v>
      </c>
      <c r="F214" s="1">
        <v>1</v>
      </c>
      <c r="G214" s="1">
        <v>2086</v>
      </c>
      <c r="H214" s="2">
        <v>23.7555555555555</v>
      </c>
      <c r="I214" s="2">
        <v>41.259259259259203</v>
      </c>
      <c r="J214" s="2">
        <v>52.537037037037003</v>
      </c>
      <c r="K214" s="2">
        <v>46.866666666666603</v>
      </c>
      <c r="L214" s="2">
        <v>42.677777777777699</v>
      </c>
      <c r="M214" s="2">
        <v>54.859259259259197</v>
      </c>
      <c r="N214" s="2">
        <v>52.933333333333302</v>
      </c>
      <c r="O214" s="2">
        <v>34.355555555555497</v>
      </c>
      <c r="P214" s="2">
        <v>30.470370370370301</v>
      </c>
      <c r="Q214" s="2">
        <v>46.848148148148098</v>
      </c>
      <c r="R214" s="2">
        <v>42.081481481481397</v>
      </c>
      <c r="S214" s="2">
        <v>41.766666666666602</v>
      </c>
      <c r="T214" s="2">
        <v>42.562962962962899</v>
      </c>
      <c r="U214" s="2">
        <v>38.3962962962962</v>
      </c>
      <c r="V214" s="2">
        <v>38.788888888888799</v>
      </c>
      <c r="W214" s="2">
        <v>46.6111111111111</v>
      </c>
      <c r="X214" s="2">
        <v>41.362962962962897</v>
      </c>
      <c r="Y214" s="2">
        <v>42.8962962962962</v>
      </c>
      <c r="Z214" s="2">
        <v>-0.130973885189483</v>
      </c>
      <c r="AA214" s="2">
        <f>MAX(120*16*Z214/SUM(Z:Z),0.75)</f>
        <v>0.75</v>
      </c>
      <c r="AB214" s="2">
        <f>AA214-F214</f>
        <v>-0.25</v>
      </c>
    </row>
    <row r="215" spans="1:28" hidden="1" x14ac:dyDescent="0.25">
      <c r="B215" s="1">
        <v>197</v>
      </c>
      <c r="C215" s="1" t="s">
        <v>256</v>
      </c>
      <c r="D215" s="1" t="s">
        <v>55</v>
      </c>
      <c r="E215" s="1">
        <v>22</v>
      </c>
      <c r="F215" s="1">
        <v>1.01</v>
      </c>
      <c r="G215" s="1">
        <v>2085</v>
      </c>
      <c r="H215" s="2">
        <v>22.6737891737891</v>
      </c>
      <c r="I215" s="2">
        <v>41.159544159544097</v>
      </c>
      <c r="J215" s="2">
        <v>53.414529914529901</v>
      </c>
      <c r="K215" s="2">
        <v>49.877492877492799</v>
      </c>
      <c r="L215" s="2">
        <v>43.253561253561202</v>
      </c>
      <c r="M215" s="2">
        <v>55.216524216524199</v>
      </c>
      <c r="N215" s="2">
        <v>54.747863247863201</v>
      </c>
      <c r="O215" s="2">
        <v>33.995726495726402</v>
      </c>
      <c r="P215" s="2">
        <v>35.8532763532763</v>
      </c>
      <c r="Q215" s="2">
        <v>41.354700854700802</v>
      </c>
      <c r="R215" s="2">
        <v>38.767806267806201</v>
      </c>
      <c r="S215" s="2">
        <v>39.746438746438699</v>
      </c>
      <c r="T215" s="2">
        <v>37.737891737891701</v>
      </c>
      <c r="U215" s="2">
        <v>35.625356125356099</v>
      </c>
      <c r="V215" s="2">
        <v>37.913105413105399</v>
      </c>
      <c r="W215" s="2">
        <v>47.487179487179397</v>
      </c>
      <c r="X215" s="2">
        <v>44.472934472934398</v>
      </c>
      <c r="Y215" s="2">
        <v>44.109686609686598</v>
      </c>
      <c r="Z215" s="2">
        <v>-0.102016888238101</v>
      </c>
      <c r="AA215" s="2">
        <f>MAX(120*16*Z215/SUM(Z:Z),0.75)</f>
        <v>0.75</v>
      </c>
      <c r="AB215" s="2">
        <f>AA215-F215</f>
        <v>-0.26</v>
      </c>
    </row>
    <row r="216" spans="1:28" hidden="1" x14ac:dyDescent="0.25">
      <c r="B216" s="1">
        <v>170</v>
      </c>
      <c r="C216" s="1" t="s">
        <v>258</v>
      </c>
      <c r="D216" s="1" t="s">
        <v>55</v>
      </c>
      <c r="E216" s="1">
        <v>22</v>
      </c>
      <c r="F216" s="1">
        <v>1.94</v>
      </c>
      <c r="G216" s="1">
        <v>2085</v>
      </c>
      <c r="H216" s="2">
        <v>22.580555555555499</v>
      </c>
      <c r="I216" s="2">
        <v>40.588888888888803</v>
      </c>
      <c r="J216" s="2">
        <v>54.038888888888799</v>
      </c>
      <c r="K216" s="2">
        <v>50.005555555555503</v>
      </c>
      <c r="L216" s="2">
        <v>43.863888888888802</v>
      </c>
      <c r="M216" s="2">
        <v>58.938888888888798</v>
      </c>
      <c r="N216" s="2">
        <v>57.6944444444444</v>
      </c>
      <c r="O216" s="2">
        <v>34.4722222222222</v>
      </c>
      <c r="P216" s="2">
        <v>35.461111111111101</v>
      </c>
      <c r="Q216" s="2">
        <v>45.066666666666599</v>
      </c>
      <c r="R216" s="2">
        <v>36.0833333333333</v>
      </c>
      <c r="S216" s="2">
        <v>37.952777777777698</v>
      </c>
      <c r="T216" s="2">
        <v>36.049999999999997</v>
      </c>
      <c r="U216" s="2">
        <v>34.141666666666602</v>
      </c>
      <c r="V216" s="2">
        <v>36.355555555555497</v>
      </c>
      <c r="W216" s="2">
        <v>43.827777777777698</v>
      </c>
      <c r="X216" s="2">
        <v>40.2083333333333</v>
      </c>
      <c r="Y216" s="2">
        <v>39.1111111111111</v>
      </c>
      <c r="Z216" s="2">
        <v>-0.23423474185989099</v>
      </c>
      <c r="AA216" s="2">
        <f>MAX(120*16*Z216/SUM(Z:Z),0.75)</f>
        <v>0.75</v>
      </c>
      <c r="AB216" s="2">
        <f>AA216-F216</f>
        <v>-1.19</v>
      </c>
    </row>
    <row r="217" spans="1:28" hidden="1" x14ac:dyDescent="0.25">
      <c r="B217" s="1">
        <v>50</v>
      </c>
      <c r="C217" s="1" t="s">
        <v>259</v>
      </c>
      <c r="D217" s="1" t="s">
        <v>53</v>
      </c>
      <c r="E217" s="1">
        <v>22</v>
      </c>
      <c r="F217" s="1">
        <v>1.38</v>
      </c>
      <c r="G217" s="1">
        <v>2086</v>
      </c>
      <c r="H217" s="2">
        <v>22.65</v>
      </c>
      <c r="I217" s="2">
        <v>40.2222222222222</v>
      </c>
      <c r="J217" s="2">
        <v>53.938888888888798</v>
      </c>
      <c r="K217" s="2">
        <v>46.6388888888888</v>
      </c>
      <c r="L217" s="2">
        <v>46.233333333333299</v>
      </c>
      <c r="M217" s="2">
        <v>48.711111111111101</v>
      </c>
      <c r="N217" s="2">
        <v>47.199999999999903</v>
      </c>
      <c r="O217" s="2">
        <v>35.244444444444397</v>
      </c>
      <c r="P217" s="2">
        <v>43.0555555555555</v>
      </c>
      <c r="Q217" s="2">
        <v>44.816666666666599</v>
      </c>
      <c r="R217" s="2">
        <v>36.072222222222202</v>
      </c>
      <c r="S217" s="2">
        <v>34.4</v>
      </c>
      <c r="T217" s="2">
        <v>36.288888888888799</v>
      </c>
      <c r="U217" s="2">
        <v>39.116666666666603</v>
      </c>
      <c r="V217" s="2">
        <v>40.483333333333299</v>
      </c>
      <c r="W217" s="2">
        <v>45.8055555555555</v>
      </c>
      <c r="X217" s="2">
        <v>45.533333333333303</v>
      </c>
      <c r="Y217" s="2">
        <v>49.5</v>
      </c>
      <c r="Z217" s="2">
        <v>-0.252937440790096</v>
      </c>
      <c r="AA217" s="2">
        <f>MAX(120*16*Z217/SUM(Z:Z),0.75)</f>
        <v>0.75</v>
      </c>
      <c r="AB217" s="2">
        <f>AA217-F217</f>
        <v>-0.62999999999999989</v>
      </c>
    </row>
    <row r="218" spans="1:28" hidden="1" x14ac:dyDescent="0.25">
      <c r="B218" s="1">
        <v>53</v>
      </c>
      <c r="C218" s="1" t="s">
        <v>254</v>
      </c>
      <c r="D218" s="1" t="s">
        <v>55</v>
      </c>
      <c r="E218" s="1">
        <v>20</v>
      </c>
      <c r="F218" s="1">
        <v>0.75</v>
      </c>
      <c r="G218" s="1">
        <v>2086</v>
      </c>
      <c r="H218" s="2">
        <v>22.9027777777777</v>
      </c>
      <c r="I218" s="2">
        <v>39.281746031746003</v>
      </c>
      <c r="J218" s="2">
        <v>52.434523809523803</v>
      </c>
      <c r="K218" s="2">
        <v>52.657738095238003</v>
      </c>
      <c r="L218" s="2">
        <v>45.4652777777777</v>
      </c>
      <c r="M218" s="2">
        <v>52.625992063491999</v>
      </c>
      <c r="N218" s="2">
        <v>55.025793650793602</v>
      </c>
      <c r="O218" s="2">
        <v>38.926587301587297</v>
      </c>
      <c r="P218" s="2">
        <v>37.5763888888888</v>
      </c>
      <c r="Q218" s="2">
        <v>45.248015873015802</v>
      </c>
      <c r="R218" s="2">
        <v>34.1111111111111</v>
      </c>
      <c r="S218" s="2">
        <v>35.021825396825399</v>
      </c>
      <c r="T218" s="2">
        <v>33.9166666666666</v>
      </c>
      <c r="U218" s="2">
        <v>30.829365079365001</v>
      </c>
      <c r="V218" s="2">
        <v>35.8611111111111</v>
      </c>
      <c r="W218" s="2">
        <v>44.863095238095198</v>
      </c>
      <c r="X218" s="2">
        <v>41.681547619047599</v>
      </c>
      <c r="Y218" s="2">
        <v>45.633928571428498</v>
      </c>
      <c r="Z218" s="2">
        <v>-0.16471616602540601</v>
      </c>
      <c r="AA218" s="2">
        <f>MAX(120*16*Z218/SUM(Z:Z),0.75)</f>
        <v>0.75</v>
      </c>
      <c r="AB218" s="2">
        <f>AA218-F218</f>
        <v>0</v>
      </c>
    </row>
    <row r="219" spans="1:28" x14ac:dyDescent="0.25">
      <c r="A219" s="1">
        <v>1</v>
      </c>
      <c r="B219" s="1">
        <v>156</v>
      </c>
      <c r="C219" s="1" t="s">
        <v>261</v>
      </c>
      <c r="D219" s="1" t="s">
        <v>43</v>
      </c>
      <c r="E219" s="1">
        <v>19</v>
      </c>
      <c r="F219" s="1">
        <v>0.75</v>
      </c>
      <c r="G219" s="1">
        <v>2086</v>
      </c>
      <c r="H219" s="2">
        <v>22.0040885040885</v>
      </c>
      <c r="I219" s="2">
        <v>39.263107263107202</v>
      </c>
      <c r="J219" s="2">
        <v>54.631794131794102</v>
      </c>
      <c r="K219" s="2">
        <v>56.530303030303003</v>
      </c>
      <c r="L219" s="2">
        <v>45.489417989417902</v>
      </c>
      <c r="M219" s="2">
        <v>48.069985569985498</v>
      </c>
      <c r="N219" s="2">
        <v>45.423039923039902</v>
      </c>
      <c r="O219" s="2">
        <v>32.312650312650298</v>
      </c>
      <c r="P219" s="2">
        <v>42.136604136604099</v>
      </c>
      <c r="Q219" s="2">
        <v>44.235209235209197</v>
      </c>
      <c r="R219" s="2">
        <v>34.7573352573352</v>
      </c>
      <c r="S219" s="2">
        <v>33.391053391053397</v>
      </c>
      <c r="T219" s="2">
        <v>34.053872053871999</v>
      </c>
      <c r="U219" s="2">
        <v>36.824675324675297</v>
      </c>
      <c r="V219" s="2">
        <v>36.570226070225999</v>
      </c>
      <c r="W219" s="2">
        <v>44.057479557479503</v>
      </c>
      <c r="X219" s="2">
        <v>40.614718614718598</v>
      </c>
      <c r="Y219" s="2">
        <v>50.456950456950402</v>
      </c>
      <c r="Z219" s="2">
        <v>-0.16409941557140101</v>
      </c>
      <c r="AA219" s="2">
        <f>MAX(120*16*Z219/SUM(Z:Z),0.75)</f>
        <v>0.75</v>
      </c>
      <c r="AB219" s="2">
        <f>AA219-F219</f>
        <v>0</v>
      </c>
    </row>
    <row r="220" spans="1:28" hidden="1" x14ac:dyDescent="0.25">
      <c r="A220" s="1">
        <v>1</v>
      </c>
      <c r="B220" s="1">
        <v>42</v>
      </c>
      <c r="C220" s="1" t="s">
        <v>264</v>
      </c>
      <c r="D220" s="1" t="s">
        <v>60</v>
      </c>
      <c r="E220" s="1">
        <v>19</v>
      </c>
      <c r="F220" s="1">
        <v>2.57</v>
      </c>
      <c r="G220" s="1">
        <v>2087</v>
      </c>
      <c r="H220" s="2">
        <v>22.507575757575701</v>
      </c>
      <c r="I220" s="2">
        <v>39.223484848484802</v>
      </c>
      <c r="J220" s="2">
        <v>52.893939393939398</v>
      </c>
      <c r="K220" s="2">
        <v>63.8611111111111</v>
      </c>
      <c r="L220" s="2">
        <v>45.934343434343397</v>
      </c>
      <c r="M220" s="2">
        <v>45.691919191919098</v>
      </c>
      <c r="N220" s="2">
        <v>46.727272727272698</v>
      </c>
      <c r="O220" s="2">
        <v>31.271464646464601</v>
      </c>
      <c r="P220" s="2">
        <v>42.406565656565597</v>
      </c>
      <c r="Q220" s="2">
        <v>43.457070707070699</v>
      </c>
      <c r="R220" s="2">
        <v>31.0656565656565</v>
      </c>
      <c r="S220" s="2">
        <v>31.420454545454501</v>
      </c>
      <c r="T220" s="2">
        <v>32.633838383838302</v>
      </c>
      <c r="U220" s="2">
        <v>32.815656565656496</v>
      </c>
      <c r="V220" s="2">
        <v>36.128787878787797</v>
      </c>
      <c r="W220" s="2">
        <v>42.4166666666666</v>
      </c>
      <c r="X220" s="2">
        <v>39.376262626262601</v>
      </c>
      <c r="Y220" s="2">
        <v>51.517676767676697</v>
      </c>
      <c r="Z220" s="2">
        <v>4.4178929155673799E-2</v>
      </c>
      <c r="AA220" s="2">
        <f>MAX(120*16*Z220/SUM(Z:Z),0.75)</f>
        <v>0.75</v>
      </c>
      <c r="AB220" s="2">
        <f>AA220-F220</f>
        <v>-1.8199999999999998</v>
      </c>
    </row>
    <row r="221" spans="1:28" hidden="1" x14ac:dyDescent="0.25">
      <c r="B221" s="1">
        <v>68</v>
      </c>
      <c r="C221" s="1" t="s">
        <v>262</v>
      </c>
      <c r="D221" s="1" t="s">
        <v>53</v>
      </c>
      <c r="E221" s="1">
        <v>21</v>
      </c>
      <c r="F221" s="1">
        <v>0.75</v>
      </c>
      <c r="G221" s="1">
        <v>2086</v>
      </c>
      <c r="H221" s="2">
        <v>21.746867167919799</v>
      </c>
      <c r="I221" s="2">
        <v>38.887218045112697</v>
      </c>
      <c r="J221" s="2">
        <v>54.533082706766898</v>
      </c>
      <c r="K221" s="2">
        <v>47.329072681704197</v>
      </c>
      <c r="L221" s="2">
        <v>44.536340852130301</v>
      </c>
      <c r="M221" s="2">
        <v>51.918045112781897</v>
      </c>
      <c r="N221" s="2">
        <v>54.059147869674099</v>
      </c>
      <c r="O221" s="2">
        <v>32.802255639097702</v>
      </c>
      <c r="P221" s="2">
        <v>38.098997493734302</v>
      </c>
      <c r="Q221" s="2">
        <v>43.348621553884698</v>
      </c>
      <c r="R221" s="2">
        <v>42.264912280701701</v>
      </c>
      <c r="S221" s="2">
        <v>42.303007518796903</v>
      </c>
      <c r="T221" s="2">
        <v>43.912781954887201</v>
      </c>
      <c r="U221" s="2">
        <v>33.733333333333299</v>
      </c>
      <c r="V221" s="2">
        <v>34.894987468671602</v>
      </c>
      <c r="W221" s="2">
        <v>46.361152882205502</v>
      </c>
      <c r="X221" s="2">
        <v>41.826065162907199</v>
      </c>
      <c r="Y221" s="2">
        <v>44.159147869674101</v>
      </c>
      <c r="Z221" s="2">
        <v>-8.2261463285991807E-2</v>
      </c>
      <c r="AA221" s="2">
        <f>MAX(120*16*Z221/SUM(Z:Z),0.75)</f>
        <v>0.75</v>
      </c>
      <c r="AB221" s="2">
        <f>AA221-F221</f>
        <v>0</v>
      </c>
    </row>
    <row r="222" spans="1:28" hidden="1" x14ac:dyDescent="0.25">
      <c r="A222" s="1">
        <v>1</v>
      </c>
      <c r="B222" s="1">
        <v>70</v>
      </c>
      <c r="C222" s="1" t="s">
        <v>260</v>
      </c>
      <c r="D222" s="1" t="s">
        <v>41</v>
      </c>
      <c r="E222" s="1">
        <v>20</v>
      </c>
      <c r="F222" s="1">
        <v>1.53</v>
      </c>
      <c r="G222" s="1">
        <v>2087</v>
      </c>
      <c r="H222" s="2">
        <v>21.7260101010101</v>
      </c>
      <c r="I222" s="2">
        <v>38.811237373737299</v>
      </c>
      <c r="J222" s="2">
        <v>54.943181818181799</v>
      </c>
      <c r="K222" s="2">
        <v>40.994949494949402</v>
      </c>
      <c r="L222" s="2">
        <v>42.4861111111111</v>
      </c>
      <c r="M222" s="2">
        <v>58.908459595959499</v>
      </c>
      <c r="N222" s="2">
        <v>58.0479797979797</v>
      </c>
      <c r="O222" s="2">
        <v>33.719696969696898</v>
      </c>
      <c r="P222" s="2">
        <v>31.372474747474701</v>
      </c>
      <c r="Q222" s="2">
        <v>39.802398989898897</v>
      </c>
      <c r="R222" s="2">
        <v>43.106060606060602</v>
      </c>
      <c r="S222" s="2">
        <v>43.7563131313131</v>
      </c>
      <c r="T222" s="2">
        <v>42.346590909090899</v>
      </c>
      <c r="U222" s="2">
        <v>32.258838383838302</v>
      </c>
      <c r="V222" s="2">
        <v>33.676767676767597</v>
      </c>
      <c r="W222" s="2">
        <v>49.868686868686801</v>
      </c>
      <c r="X222" s="2">
        <v>46.278409090909001</v>
      </c>
      <c r="Y222" s="2">
        <v>40.752525252525203</v>
      </c>
      <c r="Z222" s="2">
        <v>-0.372487255577787</v>
      </c>
      <c r="AA222" s="2">
        <f>MAX(120*16*Z222/SUM(Z:Z),0.75)</f>
        <v>0.75</v>
      </c>
      <c r="AB222" s="2">
        <f>AA222-F222</f>
        <v>-0.78</v>
      </c>
    </row>
    <row r="223" spans="1:28" hidden="1" x14ac:dyDescent="0.25">
      <c r="B223" s="1">
        <v>218</v>
      </c>
      <c r="C223" s="1" t="s">
        <v>268</v>
      </c>
      <c r="D223" s="1" t="s">
        <v>55</v>
      </c>
      <c r="E223" s="1">
        <v>22</v>
      </c>
      <c r="F223" s="1">
        <v>1.69</v>
      </c>
      <c r="G223" s="1">
        <v>2086</v>
      </c>
      <c r="H223" s="2">
        <v>22.096450617283899</v>
      </c>
      <c r="I223" s="2">
        <v>38.166280864197503</v>
      </c>
      <c r="J223" s="2">
        <v>53.945601851851798</v>
      </c>
      <c r="K223" s="2">
        <v>51.405864197530803</v>
      </c>
      <c r="L223" s="2">
        <v>42.270447530864097</v>
      </c>
      <c r="M223" s="2">
        <v>52.244984567901199</v>
      </c>
      <c r="N223" s="2">
        <v>52.1388888888888</v>
      </c>
      <c r="O223" s="2">
        <v>30.484182098765402</v>
      </c>
      <c r="P223" s="2">
        <v>33.660879629629598</v>
      </c>
      <c r="Q223" s="2">
        <v>42.103009259259203</v>
      </c>
      <c r="R223" s="2">
        <v>35.487654320987602</v>
      </c>
      <c r="S223" s="2">
        <v>36.070216049382701</v>
      </c>
      <c r="T223" s="2">
        <v>35.663580246913497</v>
      </c>
      <c r="U223" s="2">
        <v>33.506558641975303</v>
      </c>
      <c r="V223" s="2">
        <v>37.083719135802397</v>
      </c>
      <c r="W223" s="2">
        <v>45.9297839506172</v>
      </c>
      <c r="X223" s="2">
        <v>40.7986111111111</v>
      </c>
      <c r="Y223" s="2">
        <v>45.186342592592503</v>
      </c>
      <c r="Z223" s="2">
        <v>-6.33110417571707E-2</v>
      </c>
      <c r="AA223" s="2">
        <f>MAX(120*16*Z223/SUM(Z:Z),0.75)</f>
        <v>0.75</v>
      </c>
      <c r="AB223" s="2">
        <f>AA223-F223</f>
        <v>-0.94</v>
      </c>
    </row>
    <row r="224" spans="1:28" hidden="1" x14ac:dyDescent="0.25">
      <c r="A224" s="1">
        <v>1</v>
      </c>
      <c r="B224" s="1">
        <v>128</v>
      </c>
      <c r="C224" s="1" t="s">
        <v>265</v>
      </c>
      <c r="D224" s="1" t="s">
        <v>60</v>
      </c>
      <c r="E224" s="1">
        <v>19</v>
      </c>
      <c r="F224" s="1">
        <v>0.75</v>
      </c>
      <c r="G224" s="1">
        <v>2086</v>
      </c>
      <c r="H224" s="2">
        <v>22.418921010875</v>
      </c>
      <c r="I224" s="2">
        <v>37.861720654824097</v>
      </c>
      <c r="J224" s="2">
        <v>52.720867680637703</v>
      </c>
      <c r="K224" s="2">
        <v>61.340705909671399</v>
      </c>
      <c r="L224" s="2">
        <v>45.144278029335503</v>
      </c>
      <c r="M224" s="2">
        <v>41.829076202639399</v>
      </c>
      <c r="N224" s="2">
        <v>41.5838848252641</v>
      </c>
      <c r="O224" s="2">
        <v>32.202349162119198</v>
      </c>
      <c r="P224" s="2">
        <v>42.268005727775801</v>
      </c>
      <c r="Q224" s="2">
        <v>43.306764967684501</v>
      </c>
      <c r="R224" s="2">
        <v>31.379581253144401</v>
      </c>
      <c r="S224" s="2">
        <v>32.409497271566202</v>
      </c>
      <c r="T224" s="2">
        <v>31.443109253454001</v>
      </c>
      <c r="U224" s="2">
        <v>35.1246758775494</v>
      </c>
      <c r="V224" s="2">
        <v>36.7473199427222</v>
      </c>
      <c r="W224" s="2">
        <v>41.794380587484</v>
      </c>
      <c r="X224" s="2">
        <v>40.692054646077601</v>
      </c>
      <c r="Y224" s="2">
        <v>53.7487131854948</v>
      </c>
      <c r="Z224" s="2">
        <v>-5.9602959500753602E-2</v>
      </c>
      <c r="AA224" s="2">
        <f>MAX(120*16*Z224/SUM(Z:Z),0.75)</f>
        <v>0.75</v>
      </c>
      <c r="AB224" s="2">
        <f>AA224-F224</f>
        <v>0</v>
      </c>
    </row>
    <row r="225" spans="1:28" hidden="1" x14ac:dyDescent="0.25">
      <c r="B225" s="1">
        <v>72</v>
      </c>
      <c r="C225" s="1" t="s">
        <v>266</v>
      </c>
      <c r="D225" s="1" t="s">
        <v>53</v>
      </c>
      <c r="E225" s="1">
        <v>22</v>
      </c>
      <c r="F225" s="1">
        <v>0.75</v>
      </c>
      <c r="G225" s="1">
        <v>2085</v>
      </c>
      <c r="H225" s="2">
        <v>21.5625</v>
      </c>
      <c r="I225" s="2">
        <v>37.5625</v>
      </c>
      <c r="J225" s="2">
        <v>54.5625</v>
      </c>
      <c r="K225" s="2">
        <v>45.9652777777777</v>
      </c>
      <c r="L225" s="2">
        <v>40.8958333333333</v>
      </c>
      <c r="M225" s="2">
        <v>55.9722222222222</v>
      </c>
      <c r="N225" s="2">
        <v>55.0347222222222</v>
      </c>
      <c r="O225" s="2">
        <v>31.2222222222222</v>
      </c>
      <c r="P225" s="2">
        <v>30.1805555555555</v>
      </c>
      <c r="Q225" s="2">
        <v>39.7916666666666</v>
      </c>
      <c r="R225" s="2">
        <v>40.3125</v>
      </c>
      <c r="S225" s="2">
        <v>38.7361111111111</v>
      </c>
      <c r="T225" s="2">
        <v>38.8888888888888</v>
      </c>
      <c r="U225" s="2">
        <v>34.9861111111111</v>
      </c>
      <c r="V225" s="2">
        <v>32.75</v>
      </c>
      <c r="W225" s="2">
        <v>47.3958333333333</v>
      </c>
      <c r="X225" s="2">
        <v>43.0069444444444</v>
      </c>
      <c r="Y225" s="2">
        <v>40.7569444444444</v>
      </c>
      <c r="Z225" s="2">
        <v>-0.16681377160667901</v>
      </c>
      <c r="AA225" s="2">
        <f>MAX(120*16*Z225/SUM(Z:Z),0.75)</f>
        <v>0.75</v>
      </c>
      <c r="AB225" s="2">
        <f>AA225-F225</f>
        <v>0</v>
      </c>
    </row>
    <row r="226" spans="1:28" hidden="1" x14ac:dyDescent="0.25">
      <c r="A226" s="1">
        <v>1</v>
      </c>
      <c r="B226" s="1">
        <v>64</v>
      </c>
      <c r="C226" s="1" t="s">
        <v>267</v>
      </c>
      <c r="D226" s="1" t="s">
        <v>43</v>
      </c>
      <c r="E226" s="1">
        <v>20</v>
      </c>
      <c r="F226" s="1">
        <v>0.75</v>
      </c>
      <c r="G226" s="1">
        <v>2086</v>
      </c>
      <c r="H226" s="2">
        <v>22.941561477325799</v>
      </c>
      <c r="I226" s="2">
        <v>37.539504441327701</v>
      </c>
      <c r="J226" s="2">
        <v>51.649953249181799</v>
      </c>
      <c r="K226" s="2">
        <v>53.560892940626402</v>
      </c>
      <c r="L226" s="2">
        <v>43.976527193392499</v>
      </c>
      <c r="M226" s="2">
        <v>45.8427224559763</v>
      </c>
      <c r="N226" s="2">
        <v>44.821918341904301</v>
      </c>
      <c r="O226" s="2">
        <v>31.4083489169393</v>
      </c>
      <c r="P226" s="2">
        <v>38.438912264297898</v>
      </c>
      <c r="Q226" s="2">
        <v>42.507986598098803</v>
      </c>
      <c r="R226" s="2">
        <v>32.845371669004201</v>
      </c>
      <c r="S226" s="2">
        <v>31.877415458937101</v>
      </c>
      <c r="T226" s="2">
        <v>33.408232039894003</v>
      </c>
      <c r="U226" s="2">
        <v>36.0876772635187</v>
      </c>
      <c r="V226" s="2">
        <v>37.348507869720997</v>
      </c>
      <c r="W226" s="2">
        <v>44.225007791803002</v>
      </c>
      <c r="X226" s="2">
        <v>40.851449275362299</v>
      </c>
      <c r="Y226" s="2">
        <v>48.1896914446002</v>
      </c>
      <c r="Z226" s="2">
        <v>0.38579751148174002</v>
      </c>
      <c r="AA226" s="2">
        <f>MAX(120*16*Z226/SUM(Z:Z),0.75)</f>
        <v>5.5103199815083652</v>
      </c>
      <c r="AB226" s="2">
        <f>AA226-F226</f>
        <v>4.7603199815083652</v>
      </c>
    </row>
    <row r="227" spans="1:28" hidden="1" x14ac:dyDescent="0.25">
      <c r="B227" s="1">
        <v>67</v>
      </c>
      <c r="C227" s="1" t="s">
        <v>263</v>
      </c>
      <c r="D227" s="1" t="s">
        <v>53</v>
      </c>
      <c r="E227" s="1">
        <v>22</v>
      </c>
      <c r="F227" s="1">
        <v>1.01</v>
      </c>
      <c r="G227" s="1">
        <v>2087</v>
      </c>
      <c r="H227" s="2">
        <v>22.089033189033099</v>
      </c>
      <c r="I227" s="2">
        <v>37.425108225108197</v>
      </c>
      <c r="J227" s="2">
        <v>52.664502164502103</v>
      </c>
      <c r="K227" s="2">
        <v>50.163059163059103</v>
      </c>
      <c r="L227" s="2">
        <v>43.500432900432898</v>
      </c>
      <c r="M227" s="2">
        <v>53.577633477633398</v>
      </c>
      <c r="N227" s="2">
        <v>53.395526695526598</v>
      </c>
      <c r="O227" s="2">
        <v>30.543578643578599</v>
      </c>
      <c r="P227" s="2">
        <v>31.746031746031701</v>
      </c>
      <c r="Q227" s="2">
        <v>42.623953823953798</v>
      </c>
      <c r="R227" s="2">
        <v>38.338961038961003</v>
      </c>
      <c r="S227" s="2">
        <v>36.833910533910498</v>
      </c>
      <c r="T227" s="2">
        <v>39.458874458874398</v>
      </c>
      <c r="U227" s="2">
        <v>32.195670995671001</v>
      </c>
      <c r="V227" s="2">
        <v>32.693362193362198</v>
      </c>
      <c r="W227" s="2">
        <v>45.129870129870099</v>
      </c>
      <c r="X227" s="2">
        <v>40.167965367965301</v>
      </c>
      <c r="Y227" s="2">
        <v>41.509090909090901</v>
      </c>
      <c r="Z227" s="2">
        <v>-8.1140643551324595E-2</v>
      </c>
      <c r="AA227" s="2">
        <f>MAX(120*16*Z227/SUM(Z:Z),0.75)</f>
        <v>0.75</v>
      </c>
      <c r="AB227" s="2">
        <f>AA227-F227</f>
        <v>-0.26</v>
      </c>
    </row>
    <row r="228" spans="1:28" hidden="1" x14ac:dyDescent="0.25">
      <c r="B228" s="1">
        <v>208</v>
      </c>
      <c r="C228" s="1" t="s">
        <v>274</v>
      </c>
      <c r="D228" s="1" t="s">
        <v>35</v>
      </c>
      <c r="E228" s="1">
        <v>22</v>
      </c>
      <c r="F228" s="1">
        <v>4.34</v>
      </c>
      <c r="G228" s="1">
        <v>2085</v>
      </c>
      <c r="H228" s="2">
        <v>21.937037037037001</v>
      </c>
      <c r="I228" s="2">
        <v>37.351851851851798</v>
      </c>
      <c r="J228" s="2">
        <v>53.674074074073999</v>
      </c>
      <c r="K228" s="2">
        <v>44.414814814814797</v>
      </c>
      <c r="L228" s="2">
        <v>44.692592592592597</v>
      </c>
      <c r="M228" s="2">
        <v>56.755555555555503</v>
      </c>
      <c r="N228" s="2">
        <v>57.648148148148103</v>
      </c>
      <c r="O228" s="2">
        <v>31.740740740740701</v>
      </c>
      <c r="P228" s="2">
        <v>35.981481481481403</v>
      </c>
      <c r="Q228" s="2">
        <v>43.085185185185097</v>
      </c>
      <c r="R228" s="2">
        <v>32.529629629629603</v>
      </c>
      <c r="S228" s="2">
        <v>34.148148148148103</v>
      </c>
      <c r="T228" s="2">
        <v>33.585185185185097</v>
      </c>
      <c r="U228" s="2">
        <v>33.537037037037003</v>
      </c>
      <c r="V228" s="2">
        <v>34.585185185185097</v>
      </c>
      <c r="W228" s="2">
        <v>44.851851851851798</v>
      </c>
      <c r="X228" s="2">
        <v>43.629629629629598</v>
      </c>
      <c r="Y228" s="2">
        <v>44.529629629629603</v>
      </c>
      <c r="Z228" s="2">
        <v>-0.24803263602999101</v>
      </c>
      <c r="AA228" s="2">
        <f>MAX(120*16*Z228/SUM(Z:Z),0.75)</f>
        <v>0.75</v>
      </c>
      <c r="AB228" s="2">
        <f>AA228-F228</f>
        <v>-3.59</v>
      </c>
    </row>
    <row r="229" spans="1:28" hidden="1" x14ac:dyDescent="0.25">
      <c r="A229" s="1">
        <v>1</v>
      </c>
      <c r="B229" s="1">
        <v>226</v>
      </c>
      <c r="C229" s="1" t="s">
        <v>269</v>
      </c>
      <c r="D229" s="1" t="s">
        <v>60</v>
      </c>
      <c r="E229" s="1">
        <v>21</v>
      </c>
      <c r="F229" s="1">
        <v>0.75</v>
      </c>
      <c r="G229" s="1">
        <v>2085</v>
      </c>
      <c r="H229" s="2">
        <v>22.605555555555501</v>
      </c>
      <c r="I229" s="2">
        <v>37.334126984126897</v>
      </c>
      <c r="J229" s="2">
        <v>51.492063492063401</v>
      </c>
      <c r="K229" s="2">
        <v>54.565873015873002</v>
      </c>
      <c r="L229" s="2">
        <v>42.880952380952301</v>
      </c>
      <c r="M229" s="2">
        <v>47.928571428571402</v>
      </c>
      <c r="N229" s="2">
        <v>48.330158730158701</v>
      </c>
      <c r="O229" s="2">
        <v>29.734126984126899</v>
      </c>
      <c r="P229" s="2">
        <v>33.453968253968199</v>
      </c>
      <c r="Q229" s="2">
        <v>42.405555555555502</v>
      </c>
      <c r="R229" s="2">
        <v>33.289682539682502</v>
      </c>
      <c r="S229" s="2">
        <v>33.511904761904702</v>
      </c>
      <c r="T229" s="2">
        <v>34.190476190476097</v>
      </c>
      <c r="U229" s="2">
        <v>35.103174603174601</v>
      </c>
      <c r="V229" s="2">
        <v>36.3055555555555</v>
      </c>
      <c r="W229" s="2">
        <v>43.915873015872997</v>
      </c>
      <c r="X229" s="2">
        <v>39.130158730158698</v>
      </c>
      <c r="Y229" s="2">
        <v>46.447619047619</v>
      </c>
      <c r="Z229" s="2">
        <v>-2.8767579142941001E-2</v>
      </c>
      <c r="AA229" s="2">
        <f>MAX(120*16*Z229/SUM(Z:Z),0.75)</f>
        <v>0.75</v>
      </c>
      <c r="AB229" s="2">
        <f>AA229-F229</f>
        <v>0</v>
      </c>
    </row>
    <row r="230" spans="1:28" hidden="1" x14ac:dyDescent="0.25">
      <c r="A230" s="1">
        <v>1</v>
      </c>
      <c r="B230" s="1">
        <v>74</v>
      </c>
      <c r="C230" s="1" t="s">
        <v>273</v>
      </c>
      <c r="D230" s="1" t="s">
        <v>53</v>
      </c>
      <c r="E230" s="1">
        <v>23</v>
      </c>
      <c r="F230" s="1">
        <v>0.75</v>
      </c>
      <c r="G230" s="1">
        <v>2086</v>
      </c>
      <c r="H230" s="2">
        <v>22.420151334129802</v>
      </c>
      <c r="I230" s="2">
        <v>36.726204699322899</v>
      </c>
      <c r="J230" s="2">
        <v>51.5027877339705</v>
      </c>
      <c r="K230" s="2">
        <v>54.192154520111501</v>
      </c>
      <c r="L230" s="2">
        <v>42.592393468737498</v>
      </c>
      <c r="M230" s="2">
        <v>49.493030665073597</v>
      </c>
      <c r="N230" s="2">
        <v>48.984269215452002</v>
      </c>
      <c r="O230" s="2">
        <v>31.123855037833501</v>
      </c>
      <c r="P230" s="2">
        <v>33.242931103146098</v>
      </c>
      <c r="Q230" s="2">
        <v>43.755675029868499</v>
      </c>
      <c r="R230" s="2">
        <v>33.912385503783298</v>
      </c>
      <c r="S230" s="2">
        <v>32.036041417761801</v>
      </c>
      <c r="T230" s="2">
        <v>33.714257268020702</v>
      </c>
      <c r="U230" s="2">
        <v>34.232377538829098</v>
      </c>
      <c r="V230" s="2">
        <v>33.893667861409703</v>
      </c>
      <c r="W230" s="2">
        <v>43.341298287534798</v>
      </c>
      <c r="X230" s="2">
        <v>38.5716845878136</v>
      </c>
      <c r="Y230" s="2">
        <v>43.216049382716001</v>
      </c>
      <c r="Z230" s="2">
        <v>-2.3943047567251699E-2</v>
      </c>
      <c r="AA230" s="2">
        <f>MAX(120*16*Z230/SUM(Z:Z),0.75)</f>
        <v>0.75</v>
      </c>
      <c r="AB230" s="2">
        <f>AA230-F230</f>
        <v>0</v>
      </c>
    </row>
    <row r="231" spans="1:28" hidden="1" x14ac:dyDescent="0.25">
      <c r="B231" s="1">
        <v>179</v>
      </c>
      <c r="C231" s="1" t="s">
        <v>270</v>
      </c>
      <c r="D231" s="1" t="s">
        <v>37</v>
      </c>
      <c r="E231" s="1">
        <v>20</v>
      </c>
      <c r="F231" s="1">
        <v>0.75</v>
      </c>
      <c r="G231" s="1">
        <v>2085</v>
      </c>
      <c r="H231" s="2">
        <v>21.904700854700799</v>
      </c>
      <c r="I231" s="2">
        <v>36.596153846153797</v>
      </c>
      <c r="J231" s="2">
        <v>51.796581196581101</v>
      </c>
      <c r="K231" s="2">
        <v>45.592735042735001</v>
      </c>
      <c r="L231" s="2">
        <v>40.999572649572599</v>
      </c>
      <c r="M231" s="2">
        <v>53.825641025640998</v>
      </c>
      <c r="N231" s="2">
        <v>53.471367521367497</v>
      </c>
      <c r="O231" s="2">
        <v>32.902136752136698</v>
      </c>
      <c r="P231" s="2">
        <v>32.294444444444402</v>
      </c>
      <c r="Q231" s="2">
        <v>40.194017094016999</v>
      </c>
      <c r="R231" s="2">
        <v>36.294871794871703</v>
      </c>
      <c r="S231" s="2">
        <v>38.276068376068302</v>
      </c>
      <c r="T231" s="2">
        <v>36.365811965811901</v>
      </c>
      <c r="U231" s="2">
        <v>33.268376068376</v>
      </c>
      <c r="V231" s="2">
        <v>33.917094017094001</v>
      </c>
      <c r="W231" s="2">
        <v>47.1850427350427</v>
      </c>
      <c r="X231" s="2">
        <v>42.707264957264897</v>
      </c>
      <c r="Y231" s="2">
        <v>41.835897435897401</v>
      </c>
      <c r="Z231" s="2">
        <v>-8.7528011131102298E-2</v>
      </c>
      <c r="AA231" s="2">
        <f>MAX(120*16*Z231/SUM(Z:Z),0.75)</f>
        <v>0.75</v>
      </c>
      <c r="AB231" s="2">
        <f>AA231-F231</f>
        <v>0</v>
      </c>
    </row>
    <row r="232" spans="1:28" hidden="1" x14ac:dyDescent="0.25">
      <c r="B232" s="1">
        <v>69</v>
      </c>
      <c r="C232" s="1" t="s">
        <v>272</v>
      </c>
      <c r="D232" s="1" t="s">
        <v>46</v>
      </c>
      <c r="E232" s="1">
        <v>25</v>
      </c>
      <c r="F232" s="1">
        <v>0.75</v>
      </c>
      <c r="G232" s="1">
        <v>2085</v>
      </c>
      <c r="H232" s="2">
        <v>22.547888386123599</v>
      </c>
      <c r="I232" s="2">
        <v>36.4366515837104</v>
      </c>
      <c r="J232" s="2">
        <v>51.236048265459999</v>
      </c>
      <c r="K232" s="2">
        <v>54.104072398189999</v>
      </c>
      <c r="L232" s="2">
        <v>47.213800904977298</v>
      </c>
      <c r="M232" s="2">
        <v>44.234917043740502</v>
      </c>
      <c r="N232" s="2">
        <v>45.868778280542898</v>
      </c>
      <c r="O232" s="2">
        <v>31.814479638009001</v>
      </c>
      <c r="P232" s="2">
        <v>41.460030165912499</v>
      </c>
      <c r="Q232" s="2">
        <v>44.0460030165912</v>
      </c>
      <c r="R232" s="2">
        <v>27.847285067873301</v>
      </c>
      <c r="S232" s="2">
        <v>27.732654600301601</v>
      </c>
      <c r="T232" s="2">
        <v>28.3016591251885</v>
      </c>
      <c r="U232" s="2">
        <v>35.026772247360398</v>
      </c>
      <c r="V232" s="2">
        <v>37.237179487179397</v>
      </c>
      <c r="W232" s="2">
        <v>41.369532428355903</v>
      </c>
      <c r="X232" s="2">
        <v>40.461538461538403</v>
      </c>
      <c r="Y232" s="2">
        <v>51.2156862745098</v>
      </c>
      <c r="Z232" s="2">
        <v>-0.10058239847462</v>
      </c>
      <c r="AA232" s="2">
        <f>MAX(120*16*Z232/SUM(Z:Z),0.75)</f>
        <v>0.75</v>
      </c>
      <c r="AB232" s="2">
        <f>AA232-F232</f>
        <v>0</v>
      </c>
    </row>
    <row r="233" spans="1:28" hidden="1" x14ac:dyDescent="0.25">
      <c r="A233" s="1">
        <v>1</v>
      </c>
      <c r="B233" s="1">
        <v>132</v>
      </c>
      <c r="C233" s="1" t="s">
        <v>271</v>
      </c>
      <c r="D233" s="1" t="s">
        <v>37</v>
      </c>
      <c r="E233" s="1">
        <v>19</v>
      </c>
      <c r="F233" s="1">
        <v>0.75</v>
      </c>
      <c r="G233" s="1">
        <v>2086</v>
      </c>
      <c r="H233" s="2">
        <v>22.103418803418801</v>
      </c>
      <c r="I233" s="2">
        <v>36.293162393162397</v>
      </c>
      <c r="J233" s="2">
        <v>51.683760683760603</v>
      </c>
      <c r="K233" s="2">
        <v>47.992307692307598</v>
      </c>
      <c r="L233" s="2">
        <v>46.746153846153803</v>
      </c>
      <c r="M233" s="2">
        <v>48.226495726495699</v>
      </c>
      <c r="N233" s="2">
        <v>48.676068376068301</v>
      </c>
      <c r="O233" s="2">
        <v>32.2384615384615</v>
      </c>
      <c r="P233" s="2">
        <v>37.256410256410199</v>
      </c>
      <c r="Q233" s="2">
        <v>40.351282051281999</v>
      </c>
      <c r="R233" s="2">
        <v>34.979487179487101</v>
      </c>
      <c r="S233" s="2">
        <v>35.573504273504199</v>
      </c>
      <c r="T233" s="2">
        <v>35.429059829059803</v>
      </c>
      <c r="U233" s="2">
        <v>34.573504273504199</v>
      </c>
      <c r="V233" s="2">
        <v>35.168376068375998</v>
      </c>
      <c r="W233" s="2">
        <v>43.205128205128197</v>
      </c>
      <c r="X233" s="2">
        <v>40.933333333333302</v>
      </c>
      <c r="Y233" s="2">
        <v>48.3008547008547</v>
      </c>
      <c r="Z233" s="2">
        <v>-0.13893738827372401</v>
      </c>
      <c r="AA233" s="2">
        <f>MAX(120*16*Z233/SUM(Z:Z),0.75)</f>
        <v>0.75</v>
      </c>
      <c r="AB233" s="2">
        <f>AA233-F233</f>
        <v>0</v>
      </c>
    </row>
    <row r="234" spans="1:28" hidden="1" x14ac:dyDescent="0.25">
      <c r="B234" s="1">
        <v>54</v>
      </c>
      <c r="C234" s="1" t="s">
        <v>275</v>
      </c>
      <c r="D234" s="1" t="s">
        <v>43</v>
      </c>
      <c r="E234" s="1">
        <v>20</v>
      </c>
      <c r="F234" s="1">
        <v>0.75</v>
      </c>
      <c r="G234" s="1">
        <v>2085</v>
      </c>
      <c r="H234" s="2">
        <v>21.9643323996265</v>
      </c>
      <c r="I234" s="2">
        <v>36.251073762838402</v>
      </c>
      <c r="J234" s="2">
        <v>52.206442577030799</v>
      </c>
      <c r="K234" s="2">
        <v>53.813818860877603</v>
      </c>
      <c r="L234" s="2">
        <v>45.729598506069003</v>
      </c>
      <c r="M234" s="2">
        <v>45.153781512605001</v>
      </c>
      <c r="N234" s="2">
        <v>45.572455648926201</v>
      </c>
      <c r="O234" s="2">
        <v>31.0241830065359</v>
      </c>
      <c r="P234" s="2">
        <v>44.109243697478902</v>
      </c>
      <c r="Q234" s="2">
        <v>43.011017740429502</v>
      </c>
      <c r="R234" s="2">
        <v>30.140896358543401</v>
      </c>
      <c r="S234" s="2">
        <v>28.8990662931839</v>
      </c>
      <c r="T234" s="2">
        <v>29.196451914098901</v>
      </c>
      <c r="U234" s="2">
        <v>34.756489262371602</v>
      </c>
      <c r="V234" s="2">
        <v>35.580205415499499</v>
      </c>
      <c r="W234" s="2">
        <v>42.7734827264239</v>
      </c>
      <c r="X234" s="2">
        <v>40.451727357609698</v>
      </c>
      <c r="Y234" s="2">
        <v>49.971055088702101</v>
      </c>
      <c r="Z234" s="2">
        <v>-0.11787470457381299</v>
      </c>
      <c r="AA234" s="2">
        <f>MAX(120*16*Z234/SUM(Z:Z),0.75)</f>
        <v>0.75</v>
      </c>
      <c r="AB234" s="2">
        <f>AA234-F234</f>
        <v>0</v>
      </c>
    </row>
    <row r="235" spans="1:28" hidden="1" x14ac:dyDescent="0.25">
      <c r="B235" s="1">
        <v>232</v>
      </c>
      <c r="C235" s="1" t="s">
        <v>281</v>
      </c>
      <c r="D235" s="1" t="s">
        <v>75</v>
      </c>
      <c r="E235" s="1">
        <v>20</v>
      </c>
      <c r="F235" s="1">
        <v>0.75</v>
      </c>
      <c r="G235" s="1">
        <v>2085</v>
      </c>
      <c r="H235" s="2">
        <v>23.5</v>
      </c>
      <c r="I235" s="2">
        <v>35.3333333333333</v>
      </c>
      <c r="J235" s="2">
        <v>46.5</v>
      </c>
      <c r="K235" s="2">
        <v>58.5</v>
      </c>
      <c r="L235" s="2">
        <v>51.8333333333333</v>
      </c>
      <c r="M235" s="2">
        <v>45.8333333333333</v>
      </c>
      <c r="N235" s="2">
        <v>41</v>
      </c>
      <c r="O235" s="2">
        <v>30</v>
      </c>
      <c r="P235" s="2">
        <v>51</v>
      </c>
      <c r="Q235" s="2">
        <v>48.8333333333333</v>
      </c>
      <c r="R235" s="2">
        <v>25.1666666666666</v>
      </c>
      <c r="S235" s="2">
        <v>26.5</v>
      </c>
      <c r="T235" s="2">
        <v>25.6666666666666</v>
      </c>
      <c r="U235" s="2">
        <v>28.1666666666666</v>
      </c>
      <c r="V235" s="2">
        <v>36.3333333333333</v>
      </c>
      <c r="W235" s="2">
        <v>35.1666666666666</v>
      </c>
      <c r="X235" s="2">
        <v>36.3333333333333</v>
      </c>
      <c r="Y235" s="2">
        <v>47.1666666666666</v>
      </c>
      <c r="Z235" s="2">
        <v>-3.00648466283263E-2</v>
      </c>
      <c r="AA235" s="2">
        <f>MAX(120*16*Z235/SUM(Z:Z),0.75)</f>
        <v>0.75</v>
      </c>
      <c r="AB235" s="2">
        <f>AA235-F235</f>
        <v>0</v>
      </c>
    </row>
    <row r="236" spans="1:28" hidden="1" x14ac:dyDescent="0.25">
      <c r="B236" s="1">
        <v>187</v>
      </c>
      <c r="C236" s="1" t="s">
        <v>276</v>
      </c>
      <c r="D236" s="1" t="s">
        <v>43</v>
      </c>
      <c r="E236" s="1">
        <v>20</v>
      </c>
      <c r="F236" s="1">
        <v>0.75</v>
      </c>
      <c r="G236" s="1">
        <v>2085</v>
      </c>
      <c r="H236" s="2">
        <v>21.814574314574301</v>
      </c>
      <c r="I236" s="2">
        <v>34.723304473304403</v>
      </c>
      <c r="J236" s="2">
        <v>51.698142135642101</v>
      </c>
      <c r="K236" s="2">
        <v>56.699314574314499</v>
      </c>
      <c r="L236" s="2">
        <v>44.089917027417002</v>
      </c>
      <c r="M236" s="2">
        <v>44.126984126984098</v>
      </c>
      <c r="N236" s="2">
        <v>44.7824675324675</v>
      </c>
      <c r="O236" s="2">
        <v>28.943091630591599</v>
      </c>
      <c r="P236" s="2">
        <v>38.828553391053298</v>
      </c>
      <c r="Q236" s="2">
        <v>42.204545454545404</v>
      </c>
      <c r="R236" s="2">
        <v>29.799783549783498</v>
      </c>
      <c r="S236" s="2">
        <v>28.671085858585801</v>
      </c>
      <c r="T236" s="2">
        <v>29.363185425685401</v>
      </c>
      <c r="U236" s="2">
        <v>31.971590909090899</v>
      </c>
      <c r="V236" s="2">
        <v>34.233946608946603</v>
      </c>
      <c r="W236" s="2">
        <v>41.769751082250998</v>
      </c>
      <c r="X236" s="2">
        <v>39.3464105339105</v>
      </c>
      <c r="Y236" s="2">
        <v>50.321518759018701</v>
      </c>
      <c r="Z236" s="2">
        <v>-4.5633350867011202E-2</v>
      </c>
      <c r="AA236" s="2">
        <f>MAX(120*16*Z236/SUM(Z:Z),0.75)</f>
        <v>0.75</v>
      </c>
      <c r="AB236" s="2">
        <f>AA236-F236</f>
        <v>0</v>
      </c>
    </row>
    <row r="237" spans="1:28" hidden="1" x14ac:dyDescent="0.25">
      <c r="A237" s="1">
        <v>1</v>
      </c>
      <c r="B237" s="1">
        <v>71</v>
      </c>
      <c r="C237" s="1" t="s">
        <v>277</v>
      </c>
      <c r="D237" s="1" t="s">
        <v>37</v>
      </c>
      <c r="E237" s="1">
        <v>19</v>
      </c>
      <c r="F237" s="1">
        <v>0.75</v>
      </c>
      <c r="G237" s="1">
        <v>2086</v>
      </c>
      <c r="H237" s="2">
        <v>21.698412698412699</v>
      </c>
      <c r="I237" s="2">
        <v>34.388392857142797</v>
      </c>
      <c r="J237" s="2">
        <v>51.505952380952301</v>
      </c>
      <c r="K237" s="2">
        <v>46.863095238095198</v>
      </c>
      <c r="L237" s="2">
        <v>39.506448412698397</v>
      </c>
      <c r="M237" s="2">
        <v>51.510912698412703</v>
      </c>
      <c r="N237" s="2">
        <v>49.569940476190403</v>
      </c>
      <c r="O237" s="2">
        <v>28.196924603174601</v>
      </c>
      <c r="P237" s="2">
        <v>31.557043650793599</v>
      </c>
      <c r="Q237" s="2">
        <v>36.870039682539598</v>
      </c>
      <c r="R237" s="2">
        <v>36.314484126984098</v>
      </c>
      <c r="S237" s="2">
        <v>35.963293650793602</v>
      </c>
      <c r="T237" s="2">
        <v>37.474206349206298</v>
      </c>
      <c r="U237" s="2">
        <v>32.226190476190403</v>
      </c>
      <c r="V237" s="2">
        <v>32.307539682539598</v>
      </c>
      <c r="W237" s="2">
        <v>46.825396825396801</v>
      </c>
      <c r="X237" s="2">
        <v>41.360119047619001</v>
      </c>
      <c r="Y237" s="2">
        <v>42.473214285714199</v>
      </c>
      <c r="Z237" s="2">
        <v>-0.119041015235323</v>
      </c>
      <c r="AA237" s="2">
        <f>MAX(120*16*Z237/SUM(Z:Z),0.75)</f>
        <v>0.75</v>
      </c>
      <c r="AB237" s="2">
        <f>AA237-F237</f>
        <v>0</v>
      </c>
    </row>
    <row r="238" spans="1:28" hidden="1" x14ac:dyDescent="0.25">
      <c r="B238" s="1">
        <v>237</v>
      </c>
      <c r="C238" s="1" t="s">
        <v>279</v>
      </c>
      <c r="D238" s="1" t="s">
        <v>55</v>
      </c>
      <c r="E238" s="1">
        <v>21</v>
      </c>
      <c r="F238" s="1">
        <v>3.61</v>
      </c>
      <c r="G238" s="1">
        <v>2085</v>
      </c>
      <c r="H238" s="2">
        <v>22.134191176470502</v>
      </c>
      <c r="I238" s="2">
        <v>34.332720588235297</v>
      </c>
      <c r="J238" s="2">
        <v>49.912990196078397</v>
      </c>
      <c r="K238" s="2">
        <v>55.253063725490101</v>
      </c>
      <c r="L238" s="2">
        <v>42.054534313725398</v>
      </c>
      <c r="M238" s="2">
        <v>43.377450980392098</v>
      </c>
      <c r="N238" s="2">
        <v>43.4270833333333</v>
      </c>
      <c r="O238" s="2">
        <v>29.477328431372499</v>
      </c>
      <c r="P238" s="2">
        <v>39.420955882352899</v>
      </c>
      <c r="Q238" s="2">
        <v>41.019607843137202</v>
      </c>
      <c r="R238" s="2">
        <v>28.449142156862699</v>
      </c>
      <c r="S238" s="2">
        <v>28.956495098039198</v>
      </c>
      <c r="T238" s="2">
        <v>28.862132352941099</v>
      </c>
      <c r="U238" s="2">
        <v>33.403799019607803</v>
      </c>
      <c r="V238" s="2">
        <v>34.678921568627402</v>
      </c>
      <c r="W238" s="2">
        <v>42.221200980392098</v>
      </c>
      <c r="X238" s="2">
        <v>39.296568627450903</v>
      </c>
      <c r="Y238" s="2">
        <v>49.170343137254797</v>
      </c>
      <c r="Z238" s="2">
        <v>-2.24690542802937E-2</v>
      </c>
      <c r="AA238" s="2">
        <f>MAX(120*16*Z238/SUM(Z:Z),0.75)</f>
        <v>0.75</v>
      </c>
      <c r="AB238" s="2">
        <f>AA238-F238</f>
        <v>-2.86</v>
      </c>
    </row>
    <row r="239" spans="1:28" hidden="1" x14ac:dyDescent="0.25">
      <c r="A239" s="1">
        <v>1</v>
      </c>
      <c r="B239" s="1">
        <v>59</v>
      </c>
      <c r="C239" s="1" t="s">
        <v>278</v>
      </c>
      <c r="D239" s="1" t="s">
        <v>60</v>
      </c>
      <c r="E239" s="1">
        <v>19</v>
      </c>
      <c r="F239" s="1">
        <v>0.75</v>
      </c>
      <c r="G239" s="1">
        <v>2086</v>
      </c>
      <c r="H239" s="2">
        <v>21.904689984101701</v>
      </c>
      <c r="I239" s="2">
        <v>33.9625331213566</v>
      </c>
      <c r="J239" s="2">
        <v>50.904557498675103</v>
      </c>
      <c r="K239" s="2">
        <v>54.206067832538402</v>
      </c>
      <c r="L239" s="2">
        <v>41.780259671436099</v>
      </c>
      <c r="M239" s="2">
        <v>44.097085320614703</v>
      </c>
      <c r="N239" s="2">
        <v>44.094568097509203</v>
      </c>
      <c r="O239" s="2">
        <v>27.709512453630101</v>
      </c>
      <c r="P239" s="2">
        <v>35.993137254901903</v>
      </c>
      <c r="Q239" s="2">
        <v>40.831505034446202</v>
      </c>
      <c r="R239" s="2">
        <v>28.901589825119199</v>
      </c>
      <c r="S239" s="2">
        <v>29.029623741388399</v>
      </c>
      <c r="T239" s="2">
        <v>29.596608373078901</v>
      </c>
      <c r="U239" s="2">
        <v>32.9326709062003</v>
      </c>
      <c r="V239" s="2">
        <v>35.236963434022201</v>
      </c>
      <c r="W239" s="2">
        <v>42.596555378908299</v>
      </c>
      <c r="X239" s="2">
        <v>38.579279279279199</v>
      </c>
      <c r="Y239" s="2">
        <v>48.986062533121299</v>
      </c>
      <c r="Z239" s="2">
        <v>-4.1521201524871897E-2</v>
      </c>
      <c r="AA239" s="2">
        <f>MAX(120*16*Z239/SUM(Z:Z),0.75)</f>
        <v>0.75</v>
      </c>
      <c r="AB239" s="2">
        <f>AA239-F239</f>
        <v>0</v>
      </c>
    </row>
    <row r="240" spans="1:28" hidden="1" x14ac:dyDescent="0.25">
      <c r="B240" s="1">
        <v>239</v>
      </c>
      <c r="C240" s="1" t="s">
        <v>282</v>
      </c>
      <c r="D240" s="1" t="s">
        <v>43</v>
      </c>
      <c r="E240" s="1">
        <v>20</v>
      </c>
      <c r="F240" s="1">
        <v>0.75</v>
      </c>
      <c r="G240" s="1">
        <v>2085</v>
      </c>
      <c r="H240" s="2">
        <v>23.6666666666666</v>
      </c>
      <c r="I240" s="2">
        <v>32.8333333333333</v>
      </c>
      <c r="J240" s="2">
        <v>48.933333333333302</v>
      </c>
      <c r="K240" s="2">
        <v>49.3</v>
      </c>
      <c r="L240" s="2">
        <v>36.133333333333297</v>
      </c>
      <c r="M240" s="2">
        <v>52.566666666666599</v>
      </c>
      <c r="N240" s="2">
        <v>51.6</v>
      </c>
      <c r="O240" s="2">
        <v>27.033333333333299</v>
      </c>
      <c r="P240" s="2">
        <v>25.099999999999898</v>
      </c>
      <c r="Q240" s="2">
        <v>40.4</v>
      </c>
      <c r="R240" s="2">
        <v>36.533333333333303</v>
      </c>
      <c r="S240" s="2">
        <v>36</v>
      </c>
      <c r="T240" s="2">
        <v>36.1</v>
      </c>
      <c r="U240" s="2">
        <v>30.733333333333299</v>
      </c>
      <c r="V240" s="2">
        <v>27.133333333333301</v>
      </c>
      <c r="W240" s="2">
        <v>44.266666666666602</v>
      </c>
      <c r="X240" s="2">
        <v>40.6</v>
      </c>
      <c r="Y240" s="2">
        <v>38.1</v>
      </c>
      <c r="Z240" s="2">
        <v>-6.2030072976942605E-4</v>
      </c>
      <c r="AA240" s="2">
        <f>MAX(120*16*Z240/SUM(Z:Z),0.75)</f>
        <v>0.75</v>
      </c>
      <c r="AB240" s="2">
        <f>AA240-F240</f>
        <v>0</v>
      </c>
    </row>
    <row r="241" spans="2:28" hidden="1" x14ac:dyDescent="0.25">
      <c r="B241" s="1">
        <v>76</v>
      </c>
      <c r="C241" s="1" t="s">
        <v>280</v>
      </c>
      <c r="D241" s="1" t="s">
        <v>60</v>
      </c>
      <c r="E241" s="1">
        <v>21</v>
      </c>
      <c r="F241" s="1">
        <v>0.75</v>
      </c>
      <c r="G241" s="1">
        <v>2085</v>
      </c>
      <c r="H241" s="2">
        <v>24</v>
      </c>
      <c r="I241" s="2">
        <v>31.6944444444444</v>
      </c>
      <c r="J241" s="2">
        <v>48.8888888888888</v>
      </c>
      <c r="K241" s="2">
        <v>44.7777777777777</v>
      </c>
      <c r="L241" s="2">
        <v>41.3611111111111</v>
      </c>
      <c r="M241" s="2">
        <v>43.4166666666666</v>
      </c>
      <c r="N241" s="2">
        <v>38.5833333333333</v>
      </c>
      <c r="O241" s="2">
        <v>24.2777777777777</v>
      </c>
      <c r="P241" s="2">
        <v>34.9444444444444</v>
      </c>
      <c r="Q241" s="2">
        <v>40.3611111111111</v>
      </c>
      <c r="R241" s="2">
        <v>32.1944444444444</v>
      </c>
      <c r="S241" s="2">
        <v>34.3611111111111</v>
      </c>
      <c r="T241" s="2">
        <v>33.4444444444444</v>
      </c>
      <c r="U241" s="2">
        <v>33.5555555555555</v>
      </c>
      <c r="V241" s="2">
        <v>30.1944444444444</v>
      </c>
      <c r="W241" s="2">
        <v>47.6666666666666</v>
      </c>
      <c r="X241" s="2">
        <v>45.3888888888888</v>
      </c>
      <c r="Y241" s="2">
        <v>46.1944444444444</v>
      </c>
      <c r="Z241" s="2">
        <v>-1.5700025404863999E-2</v>
      </c>
      <c r="AA241" s="2">
        <f>MAX(120*16*Z241/SUM(Z:Z),0.75)</f>
        <v>0.75</v>
      </c>
      <c r="AB241" s="2">
        <f>AA241-F241</f>
        <v>0</v>
      </c>
    </row>
  </sheetData>
  <conditionalFormatting sqref="E1:E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F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:G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Y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1:Z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50F0-3133-4A17-BAD7-DB0F34F80A9C}">
  <dimension ref="A1:K332"/>
  <sheetViews>
    <sheetView workbookViewId="0">
      <selection activeCell="E23" sqref="E23"/>
    </sheetView>
  </sheetViews>
  <sheetFormatPr defaultRowHeight="15" x14ac:dyDescent="0.25"/>
  <sheetData>
    <row r="1" spans="1:11" x14ac:dyDescent="0.25">
      <c r="A1" t="s">
        <v>283</v>
      </c>
      <c r="B1" t="s">
        <v>284</v>
      </c>
      <c r="C1" t="s">
        <v>285</v>
      </c>
      <c r="D1" t="s">
        <v>286</v>
      </c>
      <c r="E1" t="s">
        <v>17</v>
      </c>
      <c r="F1" t="s">
        <v>18</v>
      </c>
      <c r="G1" t="s">
        <v>287</v>
      </c>
      <c r="H1" t="s">
        <v>288</v>
      </c>
      <c r="I1" t="s">
        <v>289</v>
      </c>
      <c r="J1" t="s">
        <v>290</v>
      </c>
      <c r="K1" t="s">
        <v>291</v>
      </c>
    </row>
    <row r="2" spans="1:11" x14ac:dyDescent="0.25">
      <c r="A2">
        <v>1</v>
      </c>
      <c r="B2" t="s">
        <v>59</v>
      </c>
      <c r="C2" t="s">
        <v>60</v>
      </c>
      <c r="D2">
        <v>25</v>
      </c>
      <c r="E2" t="e">
        <f t="shared" ref="E2:F21" si="0">-Infinity</f>
        <v>#NAME?</v>
      </c>
      <c r="F2" t="e">
        <f t="shared" si="0"/>
        <v>#NAME?</v>
      </c>
      <c r="G2">
        <v>21.13</v>
      </c>
      <c r="H2">
        <v>2089</v>
      </c>
      <c r="I2">
        <v>0</v>
      </c>
      <c r="J2">
        <v>0</v>
      </c>
      <c r="K2" t="s">
        <v>292</v>
      </c>
    </row>
    <row r="3" spans="1:11" x14ac:dyDescent="0.25">
      <c r="A3">
        <v>2</v>
      </c>
      <c r="B3" t="s">
        <v>34</v>
      </c>
      <c r="C3" t="s">
        <v>35</v>
      </c>
      <c r="D3">
        <v>27</v>
      </c>
      <c r="E3" t="e">
        <f t="shared" si="0"/>
        <v>#NAME?</v>
      </c>
      <c r="F3" t="e">
        <f t="shared" si="0"/>
        <v>#NAME?</v>
      </c>
      <c r="G3">
        <v>33.79</v>
      </c>
      <c r="H3">
        <v>2089</v>
      </c>
      <c r="I3">
        <v>0</v>
      </c>
      <c r="J3">
        <v>0</v>
      </c>
      <c r="K3" t="s">
        <v>292</v>
      </c>
    </row>
    <row r="4" spans="1:11" x14ac:dyDescent="0.25">
      <c r="A4">
        <v>3</v>
      </c>
      <c r="B4" t="s">
        <v>36</v>
      </c>
      <c r="C4" t="s">
        <v>37</v>
      </c>
      <c r="D4">
        <v>30</v>
      </c>
      <c r="E4" t="e">
        <f t="shared" si="0"/>
        <v>#NAME?</v>
      </c>
      <c r="F4" t="e">
        <f t="shared" si="0"/>
        <v>#NAME?</v>
      </c>
      <c r="G4">
        <v>20.62</v>
      </c>
      <c r="H4">
        <v>2089</v>
      </c>
      <c r="I4">
        <v>0</v>
      </c>
      <c r="J4">
        <v>0</v>
      </c>
      <c r="K4" t="s">
        <v>292</v>
      </c>
    </row>
    <row r="5" spans="1:11" x14ac:dyDescent="0.25">
      <c r="A5">
        <v>4</v>
      </c>
      <c r="B5" t="s">
        <v>39</v>
      </c>
      <c r="C5" t="s">
        <v>35</v>
      </c>
      <c r="D5">
        <v>26</v>
      </c>
      <c r="E5" t="e">
        <f t="shared" si="0"/>
        <v>#NAME?</v>
      </c>
      <c r="F5" t="e">
        <f t="shared" si="0"/>
        <v>#NAME?</v>
      </c>
      <c r="G5">
        <v>22.28</v>
      </c>
      <c r="H5">
        <v>2085</v>
      </c>
      <c r="I5">
        <v>0</v>
      </c>
      <c r="J5">
        <v>0</v>
      </c>
      <c r="K5" t="s">
        <v>292</v>
      </c>
    </row>
    <row r="6" spans="1:11" x14ac:dyDescent="0.25">
      <c r="A6">
        <v>5</v>
      </c>
      <c r="B6" t="s">
        <v>42</v>
      </c>
      <c r="C6" t="s">
        <v>43</v>
      </c>
      <c r="D6">
        <v>24</v>
      </c>
      <c r="E6" t="e">
        <f t="shared" si="0"/>
        <v>#NAME?</v>
      </c>
      <c r="F6" t="e">
        <f t="shared" si="0"/>
        <v>#NAME?</v>
      </c>
      <c r="G6">
        <v>35</v>
      </c>
      <c r="H6">
        <v>2089</v>
      </c>
      <c r="I6">
        <v>0</v>
      </c>
      <c r="J6">
        <v>0</v>
      </c>
      <c r="K6" t="s">
        <v>292</v>
      </c>
    </row>
    <row r="7" spans="1:11" x14ac:dyDescent="0.25">
      <c r="A7">
        <v>6</v>
      </c>
      <c r="B7" t="s">
        <v>45</v>
      </c>
      <c r="C7" t="s">
        <v>46</v>
      </c>
      <c r="D7">
        <v>24</v>
      </c>
      <c r="E7" t="e">
        <f t="shared" si="0"/>
        <v>#NAME?</v>
      </c>
      <c r="F7" t="e">
        <f t="shared" si="0"/>
        <v>#NAME?</v>
      </c>
      <c r="G7">
        <v>23.52</v>
      </c>
      <c r="H7">
        <v>2085</v>
      </c>
      <c r="I7">
        <v>0</v>
      </c>
      <c r="J7">
        <v>0</v>
      </c>
      <c r="K7" t="s">
        <v>292</v>
      </c>
    </row>
    <row r="8" spans="1:11" x14ac:dyDescent="0.25">
      <c r="A8">
        <v>7</v>
      </c>
      <c r="B8" t="s">
        <v>65</v>
      </c>
      <c r="C8" t="s">
        <v>60</v>
      </c>
      <c r="D8">
        <v>25</v>
      </c>
      <c r="E8" t="e">
        <f t="shared" si="0"/>
        <v>#NAME?</v>
      </c>
      <c r="F8" t="e">
        <f t="shared" si="0"/>
        <v>#NAME?</v>
      </c>
      <c r="G8">
        <v>33.520000000000003</v>
      </c>
      <c r="H8">
        <v>2089</v>
      </c>
      <c r="I8">
        <v>0</v>
      </c>
      <c r="J8">
        <v>0</v>
      </c>
      <c r="K8" t="s">
        <v>292</v>
      </c>
    </row>
    <row r="9" spans="1:11" x14ac:dyDescent="0.25">
      <c r="A9">
        <v>8</v>
      </c>
      <c r="B9" t="s">
        <v>99</v>
      </c>
      <c r="C9" t="s">
        <v>60</v>
      </c>
      <c r="D9">
        <v>26</v>
      </c>
      <c r="E9" t="e">
        <f t="shared" si="0"/>
        <v>#NAME?</v>
      </c>
      <c r="F9" t="e">
        <f t="shared" si="0"/>
        <v>#NAME?</v>
      </c>
      <c r="G9">
        <v>26.74</v>
      </c>
      <c r="H9">
        <v>2088</v>
      </c>
      <c r="I9">
        <v>0</v>
      </c>
      <c r="J9">
        <v>0</v>
      </c>
      <c r="K9" t="s">
        <v>292</v>
      </c>
    </row>
    <row r="10" spans="1:11" x14ac:dyDescent="0.25">
      <c r="A10">
        <v>9</v>
      </c>
      <c r="B10" t="s">
        <v>40</v>
      </c>
      <c r="C10" t="s">
        <v>41</v>
      </c>
      <c r="D10">
        <v>26</v>
      </c>
      <c r="E10" t="e">
        <f t="shared" si="0"/>
        <v>#NAME?</v>
      </c>
      <c r="F10" t="e">
        <f t="shared" si="0"/>
        <v>#NAME?</v>
      </c>
      <c r="G10">
        <v>14.71</v>
      </c>
      <c r="H10">
        <v>2089</v>
      </c>
      <c r="I10">
        <v>0</v>
      </c>
      <c r="J10">
        <v>0</v>
      </c>
      <c r="K10" t="s">
        <v>292</v>
      </c>
    </row>
    <row r="11" spans="1:11" x14ac:dyDescent="0.25">
      <c r="A11">
        <v>10</v>
      </c>
      <c r="B11" t="s">
        <v>38</v>
      </c>
      <c r="C11" t="s">
        <v>37</v>
      </c>
      <c r="D11">
        <v>24</v>
      </c>
      <c r="E11" t="e">
        <f t="shared" si="0"/>
        <v>#NAME?</v>
      </c>
      <c r="F11" t="e">
        <f t="shared" si="0"/>
        <v>#NAME?</v>
      </c>
      <c r="G11">
        <v>35</v>
      </c>
      <c r="H11">
        <v>2089</v>
      </c>
      <c r="I11">
        <v>0</v>
      </c>
      <c r="J11">
        <v>0</v>
      </c>
      <c r="K11" t="s">
        <v>292</v>
      </c>
    </row>
    <row r="12" spans="1:11" x14ac:dyDescent="0.25">
      <c r="A12">
        <v>11</v>
      </c>
      <c r="B12" t="s">
        <v>44</v>
      </c>
      <c r="C12" t="s">
        <v>41</v>
      </c>
      <c r="D12">
        <v>32</v>
      </c>
      <c r="E12" t="e">
        <f t="shared" si="0"/>
        <v>#NAME?</v>
      </c>
      <c r="F12" t="e">
        <f t="shared" si="0"/>
        <v>#NAME?</v>
      </c>
      <c r="G12">
        <v>15.58</v>
      </c>
      <c r="H12">
        <v>2088</v>
      </c>
      <c r="I12">
        <v>0</v>
      </c>
      <c r="J12">
        <v>0</v>
      </c>
      <c r="K12" t="s">
        <v>292</v>
      </c>
    </row>
    <row r="13" spans="1:11" x14ac:dyDescent="0.25">
      <c r="A13">
        <v>12</v>
      </c>
      <c r="B13" t="s">
        <v>57</v>
      </c>
      <c r="C13" t="s">
        <v>46</v>
      </c>
      <c r="D13">
        <v>25</v>
      </c>
      <c r="E13" t="e">
        <f t="shared" si="0"/>
        <v>#NAME?</v>
      </c>
      <c r="F13" t="e">
        <f t="shared" si="0"/>
        <v>#NAME?</v>
      </c>
      <c r="G13">
        <v>20.5</v>
      </c>
      <c r="H13">
        <v>2087</v>
      </c>
      <c r="I13">
        <v>0</v>
      </c>
      <c r="J13">
        <v>0</v>
      </c>
      <c r="K13" t="s">
        <v>292</v>
      </c>
    </row>
    <row r="14" spans="1:11" x14ac:dyDescent="0.25">
      <c r="A14">
        <v>13</v>
      </c>
      <c r="B14" t="s">
        <v>88</v>
      </c>
      <c r="C14" t="s">
        <v>60</v>
      </c>
      <c r="D14">
        <v>34</v>
      </c>
      <c r="E14" t="e">
        <f t="shared" si="0"/>
        <v>#NAME?</v>
      </c>
      <c r="F14" t="e">
        <f t="shared" si="0"/>
        <v>#NAME?</v>
      </c>
      <c r="G14">
        <v>9.39</v>
      </c>
      <c r="H14">
        <v>2085</v>
      </c>
      <c r="I14">
        <v>0</v>
      </c>
      <c r="J14">
        <v>0</v>
      </c>
      <c r="K14" t="s">
        <v>292</v>
      </c>
    </row>
    <row r="15" spans="1:11" x14ac:dyDescent="0.25">
      <c r="A15">
        <v>14</v>
      </c>
      <c r="B15" t="s">
        <v>49</v>
      </c>
      <c r="C15" t="s">
        <v>43</v>
      </c>
      <c r="D15">
        <v>31</v>
      </c>
      <c r="E15" t="e">
        <f t="shared" si="0"/>
        <v>#NAME?</v>
      </c>
      <c r="F15" t="e">
        <f t="shared" si="0"/>
        <v>#NAME?</v>
      </c>
      <c r="G15">
        <v>8.1199999999999992</v>
      </c>
      <c r="H15">
        <v>2086</v>
      </c>
      <c r="I15">
        <v>0</v>
      </c>
      <c r="J15">
        <v>0</v>
      </c>
      <c r="K15" t="s">
        <v>292</v>
      </c>
    </row>
    <row r="16" spans="1:11" x14ac:dyDescent="0.25">
      <c r="A16">
        <v>15</v>
      </c>
      <c r="B16" t="s">
        <v>74</v>
      </c>
      <c r="C16" t="s">
        <v>75</v>
      </c>
      <c r="D16">
        <v>23</v>
      </c>
      <c r="E16" t="e">
        <f t="shared" si="0"/>
        <v>#NAME?</v>
      </c>
      <c r="F16" t="e">
        <f t="shared" si="0"/>
        <v>#NAME?</v>
      </c>
      <c r="G16">
        <v>7</v>
      </c>
      <c r="H16">
        <v>2085</v>
      </c>
      <c r="I16">
        <v>0</v>
      </c>
      <c r="J16">
        <v>0</v>
      </c>
      <c r="K16" t="s">
        <v>292</v>
      </c>
    </row>
    <row r="17" spans="1:11" x14ac:dyDescent="0.25">
      <c r="A17">
        <v>16</v>
      </c>
      <c r="B17" t="s">
        <v>47</v>
      </c>
      <c r="C17" t="s">
        <v>46</v>
      </c>
      <c r="D17">
        <v>27</v>
      </c>
      <c r="E17" t="e">
        <f t="shared" si="0"/>
        <v>#NAME?</v>
      </c>
      <c r="F17" t="e">
        <f t="shared" si="0"/>
        <v>#NAME?</v>
      </c>
      <c r="G17">
        <v>18.260000000000002</v>
      </c>
      <c r="H17">
        <v>2085</v>
      </c>
      <c r="I17">
        <v>0</v>
      </c>
      <c r="J17">
        <v>0</v>
      </c>
      <c r="K17" t="s">
        <v>292</v>
      </c>
    </row>
    <row r="18" spans="1:11" x14ac:dyDescent="0.25">
      <c r="A18">
        <v>17</v>
      </c>
      <c r="B18" t="s">
        <v>51</v>
      </c>
      <c r="C18" t="s">
        <v>43</v>
      </c>
      <c r="D18">
        <v>32</v>
      </c>
      <c r="E18" t="e">
        <f t="shared" si="0"/>
        <v>#NAME?</v>
      </c>
      <c r="F18" t="e">
        <f t="shared" si="0"/>
        <v>#NAME?</v>
      </c>
      <c r="G18">
        <v>24.82</v>
      </c>
      <c r="H18">
        <v>2089</v>
      </c>
      <c r="I18">
        <v>0</v>
      </c>
      <c r="J18">
        <v>0</v>
      </c>
      <c r="K18" t="s">
        <v>292</v>
      </c>
    </row>
    <row r="19" spans="1:11" x14ac:dyDescent="0.25">
      <c r="A19">
        <v>18</v>
      </c>
      <c r="B19" t="s">
        <v>66</v>
      </c>
      <c r="C19" t="s">
        <v>60</v>
      </c>
      <c r="D19">
        <v>24</v>
      </c>
      <c r="E19" t="e">
        <f t="shared" si="0"/>
        <v>#NAME?</v>
      </c>
      <c r="F19" t="e">
        <f t="shared" si="0"/>
        <v>#NAME?</v>
      </c>
      <c r="G19">
        <v>1.27</v>
      </c>
      <c r="H19">
        <v>2086</v>
      </c>
      <c r="I19">
        <v>0</v>
      </c>
      <c r="J19">
        <v>0</v>
      </c>
      <c r="K19" t="s">
        <v>292</v>
      </c>
    </row>
    <row r="20" spans="1:11" x14ac:dyDescent="0.25">
      <c r="A20">
        <v>19</v>
      </c>
      <c r="B20" t="s">
        <v>48</v>
      </c>
      <c r="C20" t="s">
        <v>41</v>
      </c>
      <c r="D20">
        <v>26</v>
      </c>
      <c r="E20" t="e">
        <f t="shared" si="0"/>
        <v>#NAME?</v>
      </c>
      <c r="F20" t="e">
        <f t="shared" si="0"/>
        <v>#NAME?</v>
      </c>
      <c r="G20">
        <v>14.77</v>
      </c>
      <c r="H20">
        <v>2088</v>
      </c>
      <c r="I20">
        <v>0</v>
      </c>
      <c r="J20">
        <v>0</v>
      </c>
      <c r="K20" t="s">
        <v>292</v>
      </c>
    </row>
    <row r="21" spans="1:11" x14ac:dyDescent="0.25">
      <c r="A21">
        <v>20</v>
      </c>
      <c r="B21" t="s">
        <v>67</v>
      </c>
      <c r="C21" t="s">
        <v>60</v>
      </c>
      <c r="D21">
        <v>23</v>
      </c>
      <c r="E21" t="e">
        <f t="shared" si="0"/>
        <v>#NAME?</v>
      </c>
      <c r="F21" t="e">
        <f t="shared" si="0"/>
        <v>#NAME?</v>
      </c>
      <c r="G21">
        <v>5.44</v>
      </c>
      <c r="H21">
        <v>2086</v>
      </c>
      <c r="I21">
        <v>0</v>
      </c>
      <c r="J21">
        <v>0</v>
      </c>
      <c r="K21" t="s">
        <v>292</v>
      </c>
    </row>
    <row r="22" spans="1:11" x14ac:dyDescent="0.25">
      <c r="A22">
        <v>21</v>
      </c>
      <c r="B22" t="s">
        <v>58</v>
      </c>
      <c r="C22" t="s">
        <v>53</v>
      </c>
      <c r="D22">
        <v>29</v>
      </c>
      <c r="E22" t="e">
        <f t="shared" ref="E22:F41" si="1">-Infinity</f>
        <v>#NAME?</v>
      </c>
      <c r="F22" t="e">
        <f t="shared" si="1"/>
        <v>#NAME?</v>
      </c>
      <c r="G22">
        <v>24.73</v>
      </c>
      <c r="H22">
        <v>2087</v>
      </c>
      <c r="I22">
        <v>0</v>
      </c>
      <c r="J22">
        <v>0</v>
      </c>
      <c r="K22" t="s">
        <v>292</v>
      </c>
    </row>
    <row r="23" spans="1:11" x14ac:dyDescent="0.25">
      <c r="A23">
        <v>22</v>
      </c>
      <c r="B23" t="s">
        <v>56</v>
      </c>
      <c r="C23" t="s">
        <v>41</v>
      </c>
      <c r="D23">
        <v>28</v>
      </c>
      <c r="E23" t="e">
        <f t="shared" si="1"/>
        <v>#NAME?</v>
      </c>
      <c r="F23" t="e">
        <f t="shared" si="1"/>
        <v>#NAME?</v>
      </c>
      <c r="G23">
        <v>22.43</v>
      </c>
      <c r="H23">
        <v>2089</v>
      </c>
      <c r="I23">
        <v>0</v>
      </c>
      <c r="J23">
        <v>0</v>
      </c>
      <c r="K23" t="s">
        <v>292</v>
      </c>
    </row>
    <row r="24" spans="1:11" x14ac:dyDescent="0.25">
      <c r="A24">
        <v>23</v>
      </c>
      <c r="B24" t="s">
        <v>68</v>
      </c>
      <c r="C24" t="s">
        <v>55</v>
      </c>
      <c r="D24">
        <v>25</v>
      </c>
      <c r="E24" t="e">
        <f t="shared" si="1"/>
        <v>#NAME?</v>
      </c>
      <c r="F24" t="e">
        <f t="shared" si="1"/>
        <v>#NAME?</v>
      </c>
      <c r="G24">
        <v>17.36</v>
      </c>
      <c r="H24">
        <v>2088</v>
      </c>
      <c r="I24">
        <v>0</v>
      </c>
      <c r="J24">
        <v>0</v>
      </c>
      <c r="K24" t="s">
        <v>292</v>
      </c>
    </row>
    <row r="25" spans="1:11" x14ac:dyDescent="0.25">
      <c r="A25">
        <v>24</v>
      </c>
      <c r="B25" t="s">
        <v>62</v>
      </c>
      <c r="C25" t="s">
        <v>41</v>
      </c>
      <c r="D25">
        <v>29</v>
      </c>
      <c r="E25" t="e">
        <f t="shared" si="1"/>
        <v>#NAME?</v>
      </c>
      <c r="F25" t="e">
        <f t="shared" si="1"/>
        <v>#NAME?</v>
      </c>
      <c r="G25">
        <v>10.48</v>
      </c>
      <c r="H25">
        <v>2085</v>
      </c>
      <c r="I25">
        <v>0</v>
      </c>
      <c r="J25">
        <v>0</v>
      </c>
      <c r="K25" t="s">
        <v>292</v>
      </c>
    </row>
    <row r="26" spans="1:11" x14ac:dyDescent="0.25">
      <c r="A26">
        <v>25</v>
      </c>
      <c r="B26" t="s">
        <v>52</v>
      </c>
      <c r="C26" t="s">
        <v>53</v>
      </c>
      <c r="D26">
        <v>27</v>
      </c>
      <c r="E26" t="e">
        <f t="shared" si="1"/>
        <v>#NAME?</v>
      </c>
      <c r="F26" t="e">
        <f t="shared" si="1"/>
        <v>#NAME?</v>
      </c>
      <c r="G26">
        <v>15.62</v>
      </c>
      <c r="H26">
        <v>2086</v>
      </c>
      <c r="I26">
        <v>0</v>
      </c>
      <c r="J26">
        <v>0</v>
      </c>
      <c r="K26" t="s">
        <v>292</v>
      </c>
    </row>
    <row r="27" spans="1:11" x14ac:dyDescent="0.25">
      <c r="A27">
        <v>26</v>
      </c>
      <c r="B27" t="s">
        <v>102</v>
      </c>
      <c r="C27" t="s">
        <v>43</v>
      </c>
      <c r="D27">
        <v>26</v>
      </c>
      <c r="E27" t="e">
        <f t="shared" si="1"/>
        <v>#NAME?</v>
      </c>
      <c r="F27" t="e">
        <f t="shared" si="1"/>
        <v>#NAME?</v>
      </c>
      <c r="G27">
        <v>10.42</v>
      </c>
      <c r="H27">
        <v>2086</v>
      </c>
      <c r="I27">
        <v>0</v>
      </c>
      <c r="J27">
        <v>0</v>
      </c>
      <c r="K27" t="s">
        <v>292</v>
      </c>
    </row>
    <row r="28" spans="1:11" x14ac:dyDescent="0.25">
      <c r="A28">
        <v>27</v>
      </c>
      <c r="B28" t="s">
        <v>91</v>
      </c>
      <c r="C28" t="s">
        <v>43</v>
      </c>
      <c r="D28">
        <v>20</v>
      </c>
      <c r="E28" t="e">
        <f t="shared" si="1"/>
        <v>#NAME?</v>
      </c>
      <c r="F28" t="e">
        <f t="shared" si="1"/>
        <v>#NAME?</v>
      </c>
      <c r="G28">
        <v>3.09</v>
      </c>
      <c r="H28">
        <v>2086</v>
      </c>
      <c r="I28">
        <v>0</v>
      </c>
      <c r="J28">
        <v>0</v>
      </c>
      <c r="K28" t="s">
        <v>292</v>
      </c>
    </row>
    <row r="29" spans="1:11" x14ac:dyDescent="0.25">
      <c r="A29">
        <v>28</v>
      </c>
      <c r="B29" t="s">
        <v>72</v>
      </c>
      <c r="C29" t="s">
        <v>37</v>
      </c>
      <c r="D29">
        <v>24</v>
      </c>
      <c r="E29" t="e">
        <f t="shared" si="1"/>
        <v>#NAME?</v>
      </c>
      <c r="F29" t="e">
        <f t="shared" si="1"/>
        <v>#NAME?</v>
      </c>
      <c r="G29">
        <v>3.88</v>
      </c>
      <c r="H29">
        <v>2086</v>
      </c>
      <c r="I29">
        <v>0</v>
      </c>
      <c r="J29">
        <v>0</v>
      </c>
      <c r="K29" t="s">
        <v>292</v>
      </c>
    </row>
    <row r="30" spans="1:11" x14ac:dyDescent="0.25">
      <c r="A30">
        <v>29</v>
      </c>
      <c r="B30" t="s">
        <v>77</v>
      </c>
      <c r="C30" t="s">
        <v>55</v>
      </c>
      <c r="D30">
        <v>28</v>
      </c>
      <c r="E30" t="e">
        <f t="shared" si="1"/>
        <v>#NAME?</v>
      </c>
      <c r="F30" t="e">
        <f t="shared" si="1"/>
        <v>#NAME?</v>
      </c>
      <c r="G30">
        <v>35</v>
      </c>
      <c r="H30">
        <v>2085</v>
      </c>
      <c r="I30">
        <v>0</v>
      </c>
      <c r="J30">
        <v>0</v>
      </c>
      <c r="K30" t="s">
        <v>292</v>
      </c>
    </row>
    <row r="31" spans="1:11" x14ac:dyDescent="0.25">
      <c r="A31">
        <v>30</v>
      </c>
      <c r="B31" t="s">
        <v>50</v>
      </c>
      <c r="C31" t="s">
        <v>35</v>
      </c>
      <c r="D31">
        <v>31</v>
      </c>
      <c r="E31" t="e">
        <f t="shared" si="1"/>
        <v>#NAME?</v>
      </c>
      <c r="F31" t="e">
        <f t="shared" si="1"/>
        <v>#NAME?</v>
      </c>
      <c r="G31">
        <v>16.399999999999999</v>
      </c>
      <c r="H31">
        <v>2089</v>
      </c>
      <c r="I31">
        <v>0</v>
      </c>
      <c r="J31">
        <v>0</v>
      </c>
      <c r="K31" t="s">
        <v>292</v>
      </c>
    </row>
    <row r="32" spans="1:11" x14ac:dyDescent="0.25">
      <c r="A32">
        <v>31</v>
      </c>
      <c r="B32" t="s">
        <v>61</v>
      </c>
      <c r="C32" t="s">
        <v>43</v>
      </c>
      <c r="D32">
        <v>27</v>
      </c>
      <c r="E32" t="e">
        <f t="shared" si="1"/>
        <v>#NAME?</v>
      </c>
      <c r="F32" t="e">
        <f t="shared" si="1"/>
        <v>#NAME?</v>
      </c>
      <c r="G32">
        <v>34.76</v>
      </c>
      <c r="H32">
        <v>2088</v>
      </c>
      <c r="I32">
        <v>0</v>
      </c>
      <c r="J32">
        <v>0</v>
      </c>
      <c r="K32" t="s">
        <v>292</v>
      </c>
    </row>
    <row r="33" spans="1:11" x14ac:dyDescent="0.25">
      <c r="A33">
        <v>32</v>
      </c>
      <c r="B33" t="s">
        <v>110</v>
      </c>
      <c r="C33" t="s">
        <v>60</v>
      </c>
      <c r="D33">
        <v>27</v>
      </c>
      <c r="E33" t="e">
        <f t="shared" si="1"/>
        <v>#NAME?</v>
      </c>
      <c r="F33" t="e">
        <f t="shared" si="1"/>
        <v>#NAME?</v>
      </c>
      <c r="G33">
        <v>5.2</v>
      </c>
      <c r="H33">
        <v>2087</v>
      </c>
      <c r="I33">
        <v>0</v>
      </c>
      <c r="J33">
        <v>0</v>
      </c>
      <c r="K33" t="s">
        <v>292</v>
      </c>
    </row>
    <row r="34" spans="1:11" x14ac:dyDescent="0.25">
      <c r="A34">
        <v>33</v>
      </c>
      <c r="B34" t="s">
        <v>54</v>
      </c>
      <c r="C34" t="s">
        <v>55</v>
      </c>
      <c r="D34">
        <v>27</v>
      </c>
      <c r="E34" t="e">
        <f t="shared" si="1"/>
        <v>#NAME?</v>
      </c>
      <c r="F34" t="e">
        <f t="shared" si="1"/>
        <v>#NAME?</v>
      </c>
      <c r="G34">
        <v>23.52</v>
      </c>
      <c r="H34">
        <v>2089</v>
      </c>
      <c r="I34">
        <v>0</v>
      </c>
      <c r="J34">
        <v>0</v>
      </c>
      <c r="K34" t="s">
        <v>292</v>
      </c>
    </row>
    <row r="35" spans="1:11" x14ac:dyDescent="0.25">
      <c r="A35">
        <v>34</v>
      </c>
      <c r="B35" t="s">
        <v>130</v>
      </c>
      <c r="C35" t="s">
        <v>43</v>
      </c>
      <c r="D35">
        <v>23</v>
      </c>
      <c r="E35" t="e">
        <f t="shared" si="1"/>
        <v>#NAME?</v>
      </c>
      <c r="F35" t="e">
        <f t="shared" si="1"/>
        <v>#NAME?</v>
      </c>
      <c r="G35">
        <v>15.98</v>
      </c>
      <c r="H35">
        <v>2086</v>
      </c>
      <c r="I35">
        <v>0</v>
      </c>
      <c r="J35">
        <v>0</v>
      </c>
      <c r="K35" t="s">
        <v>292</v>
      </c>
    </row>
    <row r="36" spans="1:11" x14ac:dyDescent="0.25">
      <c r="A36">
        <v>35</v>
      </c>
      <c r="B36" t="s">
        <v>69</v>
      </c>
      <c r="C36" t="s">
        <v>41</v>
      </c>
      <c r="D36">
        <v>28</v>
      </c>
      <c r="E36" t="e">
        <f t="shared" si="1"/>
        <v>#NAME?</v>
      </c>
      <c r="F36" t="e">
        <f t="shared" si="1"/>
        <v>#NAME?</v>
      </c>
      <c r="G36">
        <v>12.74</v>
      </c>
      <c r="H36">
        <v>2087</v>
      </c>
      <c r="I36">
        <v>0</v>
      </c>
      <c r="J36">
        <v>0</v>
      </c>
      <c r="K36" t="s">
        <v>292</v>
      </c>
    </row>
    <row r="37" spans="1:11" x14ac:dyDescent="0.25">
      <c r="A37">
        <v>36</v>
      </c>
      <c r="B37" t="s">
        <v>73</v>
      </c>
      <c r="C37" t="s">
        <v>37</v>
      </c>
      <c r="D37">
        <v>25</v>
      </c>
      <c r="E37" t="e">
        <f t="shared" si="1"/>
        <v>#NAME?</v>
      </c>
      <c r="F37" t="e">
        <f t="shared" si="1"/>
        <v>#NAME?</v>
      </c>
      <c r="G37">
        <v>7.63</v>
      </c>
      <c r="H37">
        <v>2085</v>
      </c>
      <c r="I37">
        <v>0</v>
      </c>
      <c r="J37">
        <v>0</v>
      </c>
      <c r="K37" t="s">
        <v>292</v>
      </c>
    </row>
    <row r="38" spans="1:11" x14ac:dyDescent="0.25">
      <c r="A38">
        <v>37</v>
      </c>
      <c r="B38" t="s">
        <v>79</v>
      </c>
      <c r="C38" t="s">
        <v>35</v>
      </c>
      <c r="D38">
        <v>23</v>
      </c>
      <c r="E38" t="e">
        <f t="shared" si="1"/>
        <v>#NAME?</v>
      </c>
      <c r="F38" t="e">
        <f t="shared" si="1"/>
        <v>#NAME?</v>
      </c>
      <c r="G38">
        <v>24.41</v>
      </c>
      <c r="H38">
        <v>2085</v>
      </c>
      <c r="I38">
        <v>0</v>
      </c>
      <c r="J38">
        <v>0</v>
      </c>
      <c r="K38" t="s">
        <v>292</v>
      </c>
    </row>
    <row r="39" spans="1:11" x14ac:dyDescent="0.25">
      <c r="A39">
        <v>38</v>
      </c>
      <c r="B39" t="s">
        <v>71</v>
      </c>
      <c r="C39" t="s">
        <v>46</v>
      </c>
      <c r="D39">
        <v>24</v>
      </c>
      <c r="E39" t="e">
        <f t="shared" si="1"/>
        <v>#NAME?</v>
      </c>
      <c r="F39" t="e">
        <f t="shared" si="1"/>
        <v>#NAME?</v>
      </c>
      <c r="G39">
        <v>6.22</v>
      </c>
      <c r="H39">
        <v>2086</v>
      </c>
      <c r="I39">
        <v>0</v>
      </c>
      <c r="J39">
        <v>0</v>
      </c>
      <c r="K39" t="s">
        <v>292</v>
      </c>
    </row>
    <row r="40" spans="1:11" x14ac:dyDescent="0.25">
      <c r="A40">
        <v>39</v>
      </c>
      <c r="B40" t="s">
        <v>78</v>
      </c>
      <c r="C40" t="s">
        <v>46</v>
      </c>
      <c r="D40">
        <v>29</v>
      </c>
      <c r="E40" t="e">
        <f t="shared" si="1"/>
        <v>#NAME?</v>
      </c>
      <c r="F40" t="e">
        <f t="shared" si="1"/>
        <v>#NAME?</v>
      </c>
      <c r="G40">
        <v>14.25</v>
      </c>
      <c r="H40">
        <v>2088</v>
      </c>
      <c r="I40">
        <v>0</v>
      </c>
      <c r="J40">
        <v>0</v>
      </c>
      <c r="K40" t="s">
        <v>292</v>
      </c>
    </row>
    <row r="41" spans="1:11" x14ac:dyDescent="0.25">
      <c r="A41">
        <v>40</v>
      </c>
      <c r="B41" t="s">
        <v>111</v>
      </c>
      <c r="C41" t="s">
        <v>60</v>
      </c>
      <c r="D41">
        <v>30</v>
      </c>
      <c r="E41" t="e">
        <f t="shared" si="1"/>
        <v>#NAME?</v>
      </c>
      <c r="F41" t="e">
        <f t="shared" si="1"/>
        <v>#NAME?</v>
      </c>
      <c r="G41">
        <v>0.75</v>
      </c>
      <c r="H41">
        <v>2087</v>
      </c>
      <c r="I41">
        <v>0</v>
      </c>
      <c r="J41">
        <v>0</v>
      </c>
      <c r="K41" t="s">
        <v>292</v>
      </c>
    </row>
    <row r="42" spans="1:11" x14ac:dyDescent="0.25">
      <c r="A42">
        <v>41</v>
      </c>
      <c r="B42" t="s">
        <v>136</v>
      </c>
      <c r="C42" t="s">
        <v>75</v>
      </c>
      <c r="D42">
        <v>22</v>
      </c>
      <c r="E42" t="e">
        <f t="shared" ref="E42:F61" si="2">-Infinity</f>
        <v>#NAME?</v>
      </c>
      <c r="F42" t="e">
        <f t="shared" si="2"/>
        <v>#NAME?</v>
      </c>
      <c r="G42">
        <v>2.57</v>
      </c>
      <c r="H42">
        <v>2085</v>
      </c>
      <c r="I42">
        <v>0</v>
      </c>
      <c r="J42">
        <v>0</v>
      </c>
      <c r="K42" t="s">
        <v>292</v>
      </c>
    </row>
    <row r="43" spans="1:11" x14ac:dyDescent="0.25">
      <c r="A43">
        <v>42</v>
      </c>
      <c r="B43" t="s">
        <v>64</v>
      </c>
      <c r="C43" t="s">
        <v>41</v>
      </c>
      <c r="D43">
        <v>27</v>
      </c>
      <c r="E43" t="e">
        <f t="shared" si="2"/>
        <v>#NAME?</v>
      </c>
      <c r="F43" t="e">
        <f t="shared" si="2"/>
        <v>#NAME?</v>
      </c>
      <c r="G43">
        <v>25.91</v>
      </c>
      <c r="H43">
        <v>2086</v>
      </c>
      <c r="I43">
        <v>0</v>
      </c>
      <c r="J43">
        <v>0</v>
      </c>
      <c r="K43" t="s">
        <v>292</v>
      </c>
    </row>
    <row r="44" spans="1:11" x14ac:dyDescent="0.25">
      <c r="A44">
        <v>43</v>
      </c>
      <c r="B44" t="s">
        <v>127</v>
      </c>
      <c r="C44" t="s">
        <v>53</v>
      </c>
      <c r="D44">
        <v>32</v>
      </c>
      <c r="E44" t="e">
        <f t="shared" si="2"/>
        <v>#NAME?</v>
      </c>
      <c r="F44" t="e">
        <f t="shared" si="2"/>
        <v>#NAME?</v>
      </c>
      <c r="G44">
        <v>4.66</v>
      </c>
      <c r="H44">
        <v>2086</v>
      </c>
      <c r="I44">
        <v>0</v>
      </c>
      <c r="J44">
        <v>0</v>
      </c>
      <c r="K44" t="s">
        <v>292</v>
      </c>
    </row>
    <row r="45" spans="1:11" x14ac:dyDescent="0.25">
      <c r="A45">
        <v>44</v>
      </c>
      <c r="B45" t="s">
        <v>85</v>
      </c>
      <c r="C45" t="s">
        <v>55</v>
      </c>
      <c r="D45">
        <v>32</v>
      </c>
      <c r="E45" t="e">
        <f t="shared" si="2"/>
        <v>#NAME?</v>
      </c>
      <c r="F45" t="e">
        <f t="shared" si="2"/>
        <v>#NAME?</v>
      </c>
      <c r="G45">
        <v>7.09</v>
      </c>
      <c r="H45">
        <v>2085</v>
      </c>
      <c r="I45">
        <v>0</v>
      </c>
      <c r="J45">
        <v>0</v>
      </c>
      <c r="K45" t="s">
        <v>292</v>
      </c>
    </row>
    <row r="46" spans="1:11" x14ac:dyDescent="0.25">
      <c r="A46">
        <v>45</v>
      </c>
      <c r="B46" t="s">
        <v>81</v>
      </c>
      <c r="C46" t="s">
        <v>37</v>
      </c>
      <c r="D46">
        <v>27</v>
      </c>
      <c r="E46" t="e">
        <f t="shared" si="2"/>
        <v>#NAME?</v>
      </c>
      <c r="F46" t="e">
        <f t="shared" si="2"/>
        <v>#NAME?</v>
      </c>
      <c r="G46">
        <v>10.61</v>
      </c>
      <c r="H46">
        <v>2086</v>
      </c>
      <c r="I46">
        <v>0</v>
      </c>
      <c r="J46">
        <v>0</v>
      </c>
      <c r="K46" t="s">
        <v>292</v>
      </c>
    </row>
    <row r="47" spans="1:11" x14ac:dyDescent="0.25">
      <c r="A47">
        <v>46</v>
      </c>
      <c r="B47" t="s">
        <v>89</v>
      </c>
      <c r="C47" t="s">
        <v>41</v>
      </c>
      <c r="D47">
        <v>24</v>
      </c>
      <c r="E47" t="e">
        <f t="shared" si="2"/>
        <v>#NAME?</v>
      </c>
      <c r="F47" t="e">
        <f t="shared" si="2"/>
        <v>#NAME?</v>
      </c>
      <c r="G47">
        <v>2.0499999999999998</v>
      </c>
      <c r="H47">
        <v>2086</v>
      </c>
      <c r="I47">
        <v>0</v>
      </c>
      <c r="J47">
        <v>0</v>
      </c>
      <c r="K47" t="s">
        <v>292</v>
      </c>
    </row>
    <row r="48" spans="1:11" x14ac:dyDescent="0.25">
      <c r="A48">
        <v>47</v>
      </c>
      <c r="B48" t="s">
        <v>125</v>
      </c>
      <c r="C48" t="s">
        <v>43</v>
      </c>
      <c r="D48">
        <v>35</v>
      </c>
      <c r="E48" t="e">
        <f t="shared" si="2"/>
        <v>#NAME?</v>
      </c>
      <c r="F48" t="e">
        <f t="shared" si="2"/>
        <v>#NAME?</v>
      </c>
      <c r="G48">
        <v>9.84</v>
      </c>
      <c r="H48">
        <v>2086</v>
      </c>
      <c r="I48">
        <v>0</v>
      </c>
      <c r="J48">
        <v>0</v>
      </c>
      <c r="K48" t="s">
        <v>292</v>
      </c>
    </row>
    <row r="49" spans="1:11" x14ac:dyDescent="0.25">
      <c r="A49">
        <v>48</v>
      </c>
      <c r="B49" t="s">
        <v>93</v>
      </c>
      <c r="C49" t="s">
        <v>60</v>
      </c>
      <c r="D49">
        <v>26</v>
      </c>
      <c r="E49" t="e">
        <f t="shared" si="2"/>
        <v>#NAME?</v>
      </c>
      <c r="F49" t="e">
        <f t="shared" si="2"/>
        <v>#NAME?</v>
      </c>
      <c r="G49">
        <v>15.4</v>
      </c>
      <c r="H49">
        <v>2088</v>
      </c>
      <c r="I49">
        <v>0</v>
      </c>
      <c r="J49">
        <v>0</v>
      </c>
      <c r="K49" t="s">
        <v>292</v>
      </c>
    </row>
    <row r="50" spans="1:11" x14ac:dyDescent="0.25">
      <c r="A50">
        <v>49</v>
      </c>
      <c r="B50" t="s">
        <v>80</v>
      </c>
      <c r="C50" t="s">
        <v>75</v>
      </c>
      <c r="D50">
        <v>23</v>
      </c>
      <c r="E50" t="e">
        <f t="shared" si="2"/>
        <v>#NAME?</v>
      </c>
      <c r="F50" t="e">
        <f t="shared" si="2"/>
        <v>#NAME?</v>
      </c>
      <c r="G50">
        <v>7</v>
      </c>
      <c r="H50">
        <v>2087</v>
      </c>
      <c r="I50">
        <v>0</v>
      </c>
      <c r="J50">
        <v>0</v>
      </c>
      <c r="K50" t="s">
        <v>292</v>
      </c>
    </row>
    <row r="51" spans="1:11" x14ac:dyDescent="0.25">
      <c r="A51">
        <v>50</v>
      </c>
      <c r="B51" t="s">
        <v>145</v>
      </c>
      <c r="C51" t="s">
        <v>60</v>
      </c>
      <c r="D51">
        <v>22</v>
      </c>
      <c r="E51" t="e">
        <f t="shared" si="2"/>
        <v>#NAME?</v>
      </c>
      <c r="F51" t="e">
        <f t="shared" si="2"/>
        <v>#NAME?</v>
      </c>
      <c r="G51">
        <v>2.57</v>
      </c>
      <c r="H51">
        <v>2086</v>
      </c>
      <c r="I51">
        <v>0</v>
      </c>
      <c r="J51">
        <v>0</v>
      </c>
      <c r="K51" t="s">
        <v>292</v>
      </c>
    </row>
    <row r="52" spans="1:11" x14ac:dyDescent="0.25">
      <c r="A52">
        <v>51</v>
      </c>
      <c r="B52" t="s">
        <v>162</v>
      </c>
      <c r="C52" t="s">
        <v>60</v>
      </c>
      <c r="D52">
        <v>27</v>
      </c>
      <c r="E52" t="e">
        <f t="shared" si="2"/>
        <v>#NAME?</v>
      </c>
      <c r="F52" t="e">
        <f t="shared" si="2"/>
        <v>#NAME?</v>
      </c>
      <c r="G52">
        <v>6.63</v>
      </c>
      <c r="H52">
        <v>2086</v>
      </c>
      <c r="I52">
        <v>0</v>
      </c>
      <c r="J52">
        <v>0</v>
      </c>
      <c r="K52" t="s">
        <v>292</v>
      </c>
    </row>
    <row r="53" spans="1:11" x14ac:dyDescent="0.25">
      <c r="A53">
        <v>52</v>
      </c>
      <c r="B53" t="s">
        <v>103</v>
      </c>
      <c r="C53" t="s">
        <v>53</v>
      </c>
      <c r="D53">
        <v>21</v>
      </c>
      <c r="E53" t="e">
        <f t="shared" si="2"/>
        <v>#NAME?</v>
      </c>
      <c r="F53" t="e">
        <f t="shared" si="2"/>
        <v>#NAME?</v>
      </c>
      <c r="G53">
        <v>0.75</v>
      </c>
      <c r="H53">
        <v>2085</v>
      </c>
      <c r="I53">
        <v>0</v>
      </c>
      <c r="J53">
        <v>0</v>
      </c>
      <c r="K53" t="s">
        <v>292</v>
      </c>
    </row>
    <row r="54" spans="1:11" x14ac:dyDescent="0.25">
      <c r="A54">
        <v>53</v>
      </c>
      <c r="B54" t="s">
        <v>113</v>
      </c>
      <c r="C54" t="s">
        <v>43</v>
      </c>
      <c r="D54">
        <v>24</v>
      </c>
      <c r="E54" t="e">
        <f t="shared" si="2"/>
        <v>#NAME?</v>
      </c>
      <c r="F54" t="e">
        <f t="shared" si="2"/>
        <v>#NAME?</v>
      </c>
      <c r="G54">
        <v>3.35</v>
      </c>
      <c r="H54">
        <v>2086</v>
      </c>
      <c r="I54">
        <v>0</v>
      </c>
      <c r="J54">
        <v>0</v>
      </c>
      <c r="K54" t="s">
        <v>292</v>
      </c>
    </row>
    <row r="55" spans="1:11" x14ac:dyDescent="0.25">
      <c r="A55">
        <v>54</v>
      </c>
      <c r="B55" t="s">
        <v>129</v>
      </c>
      <c r="C55" t="s">
        <v>43</v>
      </c>
      <c r="D55">
        <v>27</v>
      </c>
      <c r="E55" t="e">
        <f t="shared" si="2"/>
        <v>#NAME?</v>
      </c>
      <c r="F55" t="e">
        <f t="shared" si="2"/>
        <v>#NAME?</v>
      </c>
      <c r="G55">
        <v>16.84</v>
      </c>
      <c r="H55">
        <v>2085</v>
      </c>
      <c r="I55">
        <v>0</v>
      </c>
      <c r="J55">
        <v>0</v>
      </c>
      <c r="K55" t="s">
        <v>292</v>
      </c>
    </row>
    <row r="56" spans="1:11" x14ac:dyDescent="0.25">
      <c r="A56">
        <v>55</v>
      </c>
      <c r="B56" t="s">
        <v>96</v>
      </c>
      <c r="C56" t="s">
        <v>53</v>
      </c>
      <c r="D56">
        <v>33</v>
      </c>
      <c r="E56" t="e">
        <f t="shared" si="2"/>
        <v>#NAME?</v>
      </c>
      <c r="F56" t="e">
        <f t="shared" si="2"/>
        <v>#NAME?</v>
      </c>
      <c r="G56">
        <v>6.91</v>
      </c>
      <c r="H56">
        <v>2086</v>
      </c>
      <c r="I56">
        <v>0</v>
      </c>
      <c r="J56">
        <v>0</v>
      </c>
      <c r="K56" t="s">
        <v>292</v>
      </c>
    </row>
    <row r="57" spans="1:11" x14ac:dyDescent="0.25">
      <c r="A57">
        <v>56</v>
      </c>
      <c r="B57" t="s">
        <v>135</v>
      </c>
      <c r="C57" t="s">
        <v>55</v>
      </c>
      <c r="D57">
        <v>33</v>
      </c>
      <c r="E57" t="e">
        <f t="shared" si="2"/>
        <v>#NAME?</v>
      </c>
      <c r="F57" t="e">
        <f t="shared" si="2"/>
        <v>#NAME?</v>
      </c>
      <c r="G57">
        <v>0.89</v>
      </c>
      <c r="H57">
        <v>2087</v>
      </c>
      <c r="I57">
        <v>0</v>
      </c>
      <c r="J57">
        <v>0</v>
      </c>
      <c r="K57" t="s">
        <v>292</v>
      </c>
    </row>
    <row r="58" spans="1:11" x14ac:dyDescent="0.25">
      <c r="A58">
        <v>57</v>
      </c>
      <c r="B58" t="s">
        <v>112</v>
      </c>
      <c r="C58" t="s">
        <v>41</v>
      </c>
      <c r="D58">
        <v>25</v>
      </c>
      <c r="E58" t="e">
        <f t="shared" si="2"/>
        <v>#NAME?</v>
      </c>
      <c r="F58" t="e">
        <f t="shared" si="2"/>
        <v>#NAME?</v>
      </c>
      <c r="G58">
        <v>3.88</v>
      </c>
      <c r="H58">
        <v>2085</v>
      </c>
      <c r="I58">
        <v>0</v>
      </c>
      <c r="J58">
        <v>0</v>
      </c>
      <c r="K58" t="s">
        <v>292</v>
      </c>
    </row>
    <row r="59" spans="1:11" x14ac:dyDescent="0.25">
      <c r="A59">
        <v>58</v>
      </c>
      <c r="B59" t="s">
        <v>86</v>
      </c>
      <c r="C59" t="s">
        <v>75</v>
      </c>
      <c r="D59">
        <v>23</v>
      </c>
      <c r="E59" t="e">
        <f t="shared" si="2"/>
        <v>#NAME?</v>
      </c>
      <c r="F59" t="e">
        <f t="shared" si="2"/>
        <v>#NAME?</v>
      </c>
      <c r="G59">
        <v>7</v>
      </c>
      <c r="H59">
        <v>2086</v>
      </c>
      <c r="I59">
        <v>0</v>
      </c>
      <c r="J59">
        <v>0</v>
      </c>
      <c r="K59" t="s">
        <v>292</v>
      </c>
    </row>
    <row r="60" spans="1:11" x14ac:dyDescent="0.25">
      <c r="A60">
        <v>59</v>
      </c>
      <c r="B60" t="s">
        <v>82</v>
      </c>
      <c r="C60" t="s">
        <v>37</v>
      </c>
      <c r="D60">
        <v>26</v>
      </c>
      <c r="E60" t="e">
        <f t="shared" si="2"/>
        <v>#NAME?</v>
      </c>
      <c r="F60" t="e">
        <f t="shared" si="2"/>
        <v>#NAME?</v>
      </c>
      <c r="G60">
        <v>7.75</v>
      </c>
      <c r="H60">
        <v>2086</v>
      </c>
      <c r="I60">
        <v>0</v>
      </c>
      <c r="J60">
        <v>0</v>
      </c>
      <c r="K60" t="s">
        <v>292</v>
      </c>
    </row>
    <row r="61" spans="1:11" x14ac:dyDescent="0.25">
      <c r="A61">
        <v>60</v>
      </c>
      <c r="B61" t="s">
        <v>95</v>
      </c>
      <c r="C61" t="s">
        <v>43</v>
      </c>
      <c r="D61">
        <v>22</v>
      </c>
      <c r="E61" t="e">
        <f t="shared" si="2"/>
        <v>#NAME?</v>
      </c>
      <c r="F61" t="e">
        <f t="shared" si="2"/>
        <v>#NAME?</v>
      </c>
      <c r="G61">
        <v>3.61</v>
      </c>
      <c r="H61">
        <v>2087</v>
      </c>
      <c r="I61">
        <v>0</v>
      </c>
      <c r="J61">
        <v>0</v>
      </c>
      <c r="K61" t="s">
        <v>292</v>
      </c>
    </row>
    <row r="62" spans="1:11" x14ac:dyDescent="0.25">
      <c r="A62">
        <v>61</v>
      </c>
      <c r="B62" t="s">
        <v>63</v>
      </c>
      <c r="C62" t="s">
        <v>53</v>
      </c>
      <c r="D62">
        <v>31</v>
      </c>
      <c r="E62" t="e">
        <f t="shared" ref="E62:F81" si="3">-Infinity</f>
        <v>#NAME?</v>
      </c>
      <c r="F62" t="e">
        <f t="shared" si="3"/>
        <v>#NAME?</v>
      </c>
      <c r="G62">
        <v>4.66</v>
      </c>
      <c r="H62">
        <v>2088</v>
      </c>
      <c r="I62">
        <v>0</v>
      </c>
      <c r="J62">
        <v>0</v>
      </c>
      <c r="K62" t="s">
        <v>292</v>
      </c>
    </row>
    <row r="63" spans="1:11" x14ac:dyDescent="0.25">
      <c r="A63">
        <v>62</v>
      </c>
      <c r="B63" t="s">
        <v>119</v>
      </c>
      <c r="C63" t="s">
        <v>55</v>
      </c>
      <c r="D63">
        <v>24</v>
      </c>
      <c r="E63" t="e">
        <f t="shared" si="3"/>
        <v>#NAME?</v>
      </c>
      <c r="F63" t="e">
        <f t="shared" si="3"/>
        <v>#NAME?</v>
      </c>
      <c r="G63">
        <v>6.36</v>
      </c>
      <c r="H63">
        <v>2085</v>
      </c>
      <c r="I63">
        <v>0</v>
      </c>
      <c r="J63">
        <v>0</v>
      </c>
      <c r="K63" t="s">
        <v>292</v>
      </c>
    </row>
    <row r="64" spans="1:11" x14ac:dyDescent="0.25">
      <c r="A64">
        <v>63</v>
      </c>
      <c r="B64" t="s">
        <v>98</v>
      </c>
      <c r="C64" t="s">
        <v>53</v>
      </c>
      <c r="D64">
        <v>23</v>
      </c>
      <c r="E64" t="e">
        <f t="shared" si="3"/>
        <v>#NAME?</v>
      </c>
      <c r="F64" t="e">
        <f t="shared" si="3"/>
        <v>#NAME?</v>
      </c>
      <c r="G64">
        <v>20.89</v>
      </c>
      <c r="H64">
        <v>2085</v>
      </c>
      <c r="I64">
        <v>0</v>
      </c>
      <c r="J64">
        <v>0</v>
      </c>
      <c r="K64" t="s">
        <v>292</v>
      </c>
    </row>
    <row r="65" spans="1:11" x14ac:dyDescent="0.25">
      <c r="A65">
        <v>64</v>
      </c>
      <c r="B65" t="s">
        <v>76</v>
      </c>
      <c r="C65" t="s">
        <v>55</v>
      </c>
      <c r="D65">
        <v>29</v>
      </c>
      <c r="E65" t="e">
        <f t="shared" si="3"/>
        <v>#NAME?</v>
      </c>
      <c r="F65" t="e">
        <f t="shared" si="3"/>
        <v>#NAME?</v>
      </c>
      <c r="G65">
        <v>10.63</v>
      </c>
      <c r="H65">
        <v>2085</v>
      </c>
      <c r="I65">
        <v>0</v>
      </c>
      <c r="J65">
        <v>0</v>
      </c>
      <c r="K65" t="s">
        <v>292</v>
      </c>
    </row>
    <row r="66" spans="1:11" x14ac:dyDescent="0.25">
      <c r="A66">
        <v>65</v>
      </c>
      <c r="B66" t="s">
        <v>147</v>
      </c>
      <c r="C66" t="s">
        <v>46</v>
      </c>
      <c r="D66">
        <v>21</v>
      </c>
      <c r="E66" t="e">
        <f t="shared" si="3"/>
        <v>#NAME?</v>
      </c>
      <c r="F66" t="e">
        <f t="shared" si="3"/>
        <v>#NAME?</v>
      </c>
      <c r="G66">
        <v>6.22</v>
      </c>
      <c r="H66">
        <v>2085</v>
      </c>
      <c r="I66">
        <v>0</v>
      </c>
      <c r="J66">
        <v>0</v>
      </c>
      <c r="K66" t="s">
        <v>292</v>
      </c>
    </row>
    <row r="67" spans="1:11" x14ac:dyDescent="0.25">
      <c r="A67">
        <v>66</v>
      </c>
      <c r="B67" t="s">
        <v>92</v>
      </c>
      <c r="C67" t="s">
        <v>75</v>
      </c>
      <c r="D67">
        <v>27</v>
      </c>
      <c r="E67" t="e">
        <f t="shared" si="3"/>
        <v>#NAME?</v>
      </c>
      <c r="F67" t="e">
        <f t="shared" si="3"/>
        <v>#NAME?</v>
      </c>
      <c r="G67">
        <v>9.94</v>
      </c>
      <c r="H67">
        <v>2087</v>
      </c>
      <c r="I67">
        <v>0</v>
      </c>
      <c r="J67">
        <v>0</v>
      </c>
      <c r="K67" t="s">
        <v>292</v>
      </c>
    </row>
    <row r="68" spans="1:11" x14ac:dyDescent="0.25">
      <c r="A68">
        <v>67</v>
      </c>
      <c r="B68" t="s">
        <v>121</v>
      </c>
      <c r="C68" t="s">
        <v>43</v>
      </c>
      <c r="D68">
        <v>29</v>
      </c>
      <c r="E68" t="e">
        <f t="shared" si="3"/>
        <v>#NAME?</v>
      </c>
      <c r="F68" t="e">
        <f t="shared" si="3"/>
        <v>#NAME?</v>
      </c>
      <c r="G68">
        <v>5.37</v>
      </c>
      <c r="H68">
        <v>2086</v>
      </c>
      <c r="I68">
        <v>0</v>
      </c>
      <c r="J68">
        <v>0</v>
      </c>
      <c r="K68" t="s">
        <v>292</v>
      </c>
    </row>
    <row r="69" spans="1:11" x14ac:dyDescent="0.25">
      <c r="A69">
        <v>68</v>
      </c>
      <c r="B69" t="s">
        <v>139</v>
      </c>
      <c r="C69" t="s">
        <v>46</v>
      </c>
      <c r="D69">
        <v>30</v>
      </c>
      <c r="E69" t="e">
        <f t="shared" si="3"/>
        <v>#NAME?</v>
      </c>
      <c r="F69" t="e">
        <f t="shared" si="3"/>
        <v>#NAME?</v>
      </c>
      <c r="G69">
        <v>1.28</v>
      </c>
      <c r="H69">
        <v>2087</v>
      </c>
      <c r="I69">
        <v>0</v>
      </c>
      <c r="J69">
        <v>0</v>
      </c>
      <c r="K69" t="s">
        <v>292</v>
      </c>
    </row>
    <row r="70" spans="1:11" x14ac:dyDescent="0.25">
      <c r="A70">
        <v>69</v>
      </c>
      <c r="B70" t="s">
        <v>152</v>
      </c>
      <c r="C70" t="s">
        <v>53</v>
      </c>
      <c r="D70">
        <v>20</v>
      </c>
      <c r="E70" t="e">
        <f t="shared" si="3"/>
        <v>#NAME?</v>
      </c>
      <c r="F70" t="e">
        <f t="shared" si="3"/>
        <v>#NAME?</v>
      </c>
      <c r="G70">
        <v>2.31</v>
      </c>
      <c r="H70">
        <v>2086</v>
      </c>
      <c r="I70">
        <v>0</v>
      </c>
      <c r="J70">
        <v>0</v>
      </c>
      <c r="K70" t="s">
        <v>292</v>
      </c>
    </row>
    <row r="71" spans="1:11" x14ac:dyDescent="0.25">
      <c r="A71">
        <v>70</v>
      </c>
      <c r="B71" t="s">
        <v>83</v>
      </c>
      <c r="C71" t="s">
        <v>55</v>
      </c>
      <c r="D71">
        <v>26</v>
      </c>
      <c r="E71" t="e">
        <f t="shared" si="3"/>
        <v>#NAME?</v>
      </c>
      <c r="F71" t="e">
        <f t="shared" si="3"/>
        <v>#NAME?</v>
      </c>
      <c r="G71">
        <v>10.93</v>
      </c>
      <c r="H71">
        <v>2086</v>
      </c>
      <c r="I71">
        <v>0</v>
      </c>
      <c r="J71">
        <v>0</v>
      </c>
      <c r="K71" t="s">
        <v>292</v>
      </c>
    </row>
    <row r="72" spans="1:11" x14ac:dyDescent="0.25">
      <c r="A72">
        <v>71</v>
      </c>
      <c r="B72" t="s">
        <v>120</v>
      </c>
      <c r="C72" t="s">
        <v>46</v>
      </c>
      <c r="D72">
        <v>31</v>
      </c>
      <c r="E72" t="e">
        <f t="shared" si="3"/>
        <v>#NAME?</v>
      </c>
      <c r="F72" t="e">
        <f t="shared" si="3"/>
        <v>#NAME?</v>
      </c>
      <c r="G72">
        <v>0.75</v>
      </c>
      <c r="H72">
        <v>2086</v>
      </c>
      <c r="I72">
        <v>0</v>
      </c>
      <c r="J72">
        <v>0</v>
      </c>
      <c r="K72" t="s">
        <v>292</v>
      </c>
    </row>
    <row r="73" spans="1:11" x14ac:dyDescent="0.25">
      <c r="A73">
        <v>72</v>
      </c>
      <c r="B73" t="s">
        <v>161</v>
      </c>
      <c r="C73" t="s">
        <v>60</v>
      </c>
      <c r="D73">
        <v>24</v>
      </c>
      <c r="E73" t="e">
        <f t="shared" si="3"/>
        <v>#NAME?</v>
      </c>
      <c r="F73" t="e">
        <f t="shared" si="3"/>
        <v>#NAME?</v>
      </c>
      <c r="G73">
        <v>8.41</v>
      </c>
      <c r="H73">
        <v>2086</v>
      </c>
      <c r="I73">
        <v>0</v>
      </c>
      <c r="J73">
        <v>0</v>
      </c>
      <c r="K73" t="s">
        <v>292</v>
      </c>
    </row>
    <row r="74" spans="1:11" x14ac:dyDescent="0.25">
      <c r="A74">
        <v>73</v>
      </c>
      <c r="B74" t="s">
        <v>109</v>
      </c>
      <c r="C74" t="s">
        <v>37</v>
      </c>
      <c r="D74">
        <v>26</v>
      </c>
      <c r="E74" t="e">
        <f t="shared" si="3"/>
        <v>#NAME?</v>
      </c>
      <c r="F74" t="e">
        <f t="shared" si="3"/>
        <v>#NAME?</v>
      </c>
      <c r="G74">
        <v>3.99</v>
      </c>
      <c r="H74">
        <v>2085</v>
      </c>
      <c r="I74">
        <v>0</v>
      </c>
      <c r="J74">
        <v>0</v>
      </c>
      <c r="K74" t="s">
        <v>292</v>
      </c>
    </row>
    <row r="75" spans="1:11" x14ac:dyDescent="0.25">
      <c r="A75">
        <v>74</v>
      </c>
      <c r="B75" t="s">
        <v>122</v>
      </c>
      <c r="C75" t="s">
        <v>53</v>
      </c>
      <c r="D75">
        <v>24</v>
      </c>
      <c r="E75" t="e">
        <f t="shared" si="3"/>
        <v>#NAME?</v>
      </c>
      <c r="F75" t="e">
        <f t="shared" si="3"/>
        <v>#NAME?</v>
      </c>
      <c r="G75">
        <v>13.95</v>
      </c>
      <c r="H75">
        <v>2088</v>
      </c>
      <c r="I75">
        <v>0</v>
      </c>
      <c r="J75">
        <v>0</v>
      </c>
      <c r="K75" t="s">
        <v>292</v>
      </c>
    </row>
    <row r="76" spans="1:11" x14ac:dyDescent="0.25">
      <c r="A76">
        <v>75</v>
      </c>
      <c r="B76" t="s">
        <v>117</v>
      </c>
      <c r="C76" t="s">
        <v>60</v>
      </c>
      <c r="D76">
        <v>29</v>
      </c>
      <c r="E76" t="e">
        <f t="shared" si="3"/>
        <v>#NAME?</v>
      </c>
      <c r="F76" t="e">
        <f t="shared" si="3"/>
        <v>#NAME?</v>
      </c>
      <c r="G76">
        <v>1.88</v>
      </c>
      <c r="H76">
        <v>2086</v>
      </c>
      <c r="I76">
        <v>0</v>
      </c>
      <c r="J76">
        <v>0</v>
      </c>
      <c r="K76" t="s">
        <v>292</v>
      </c>
    </row>
    <row r="77" spans="1:11" x14ac:dyDescent="0.25">
      <c r="A77">
        <v>76</v>
      </c>
      <c r="B77" t="s">
        <v>170</v>
      </c>
      <c r="C77" t="s">
        <v>60</v>
      </c>
      <c r="D77">
        <v>26</v>
      </c>
      <c r="E77" t="e">
        <f t="shared" si="3"/>
        <v>#NAME?</v>
      </c>
      <c r="F77" t="e">
        <f t="shared" si="3"/>
        <v>#NAME?</v>
      </c>
      <c r="G77">
        <v>2.75</v>
      </c>
      <c r="H77">
        <v>2085</v>
      </c>
      <c r="I77">
        <v>0</v>
      </c>
      <c r="J77">
        <v>0</v>
      </c>
      <c r="K77" t="s">
        <v>292</v>
      </c>
    </row>
    <row r="78" spans="1:11" x14ac:dyDescent="0.25">
      <c r="A78">
        <v>77</v>
      </c>
      <c r="B78" t="s">
        <v>104</v>
      </c>
      <c r="C78" t="s">
        <v>75</v>
      </c>
      <c r="D78">
        <v>32</v>
      </c>
      <c r="E78" t="e">
        <f t="shared" si="3"/>
        <v>#NAME?</v>
      </c>
      <c r="F78" t="e">
        <f t="shared" si="3"/>
        <v>#NAME?</v>
      </c>
      <c r="G78">
        <v>1.51</v>
      </c>
      <c r="H78">
        <v>2086</v>
      </c>
      <c r="I78">
        <v>0</v>
      </c>
      <c r="J78">
        <v>0</v>
      </c>
      <c r="K78" t="s">
        <v>292</v>
      </c>
    </row>
    <row r="79" spans="1:11" x14ac:dyDescent="0.25">
      <c r="A79">
        <v>78</v>
      </c>
      <c r="B79" t="s">
        <v>94</v>
      </c>
      <c r="C79" t="s">
        <v>53</v>
      </c>
      <c r="D79">
        <v>26</v>
      </c>
      <c r="E79" t="e">
        <f t="shared" si="3"/>
        <v>#NAME?</v>
      </c>
      <c r="F79" t="e">
        <f t="shared" si="3"/>
        <v>#NAME?</v>
      </c>
      <c r="G79">
        <v>6.56</v>
      </c>
      <c r="H79">
        <v>2085</v>
      </c>
      <c r="I79">
        <v>0</v>
      </c>
      <c r="J79">
        <v>0</v>
      </c>
      <c r="K79" t="s">
        <v>292</v>
      </c>
    </row>
    <row r="80" spans="1:11" x14ac:dyDescent="0.25">
      <c r="A80">
        <v>79</v>
      </c>
      <c r="B80" t="s">
        <v>105</v>
      </c>
      <c r="C80" t="s">
        <v>55</v>
      </c>
      <c r="D80">
        <v>24</v>
      </c>
      <c r="E80" t="e">
        <f t="shared" si="3"/>
        <v>#NAME?</v>
      </c>
      <c r="F80" t="e">
        <f t="shared" si="3"/>
        <v>#NAME?</v>
      </c>
      <c r="G80">
        <v>12.97</v>
      </c>
      <c r="H80">
        <v>2086</v>
      </c>
      <c r="I80">
        <v>0</v>
      </c>
      <c r="J80">
        <v>0</v>
      </c>
      <c r="K80" t="s">
        <v>292</v>
      </c>
    </row>
    <row r="81" spans="1:11" x14ac:dyDescent="0.25">
      <c r="A81">
        <v>80</v>
      </c>
      <c r="B81" t="s">
        <v>87</v>
      </c>
      <c r="C81" t="s">
        <v>43</v>
      </c>
      <c r="D81">
        <v>28</v>
      </c>
      <c r="E81" t="e">
        <f t="shared" si="3"/>
        <v>#NAME?</v>
      </c>
      <c r="F81" t="e">
        <f t="shared" si="3"/>
        <v>#NAME?</v>
      </c>
      <c r="G81">
        <v>4.34</v>
      </c>
      <c r="H81">
        <v>2087</v>
      </c>
      <c r="I81">
        <v>0</v>
      </c>
      <c r="J81">
        <v>0</v>
      </c>
      <c r="K81" t="s">
        <v>292</v>
      </c>
    </row>
    <row r="82" spans="1:11" x14ac:dyDescent="0.25">
      <c r="A82">
        <v>81</v>
      </c>
      <c r="B82" t="s">
        <v>90</v>
      </c>
      <c r="C82" t="s">
        <v>75</v>
      </c>
      <c r="D82">
        <v>23</v>
      </c>
      <c r="E82" t="e">
        <f t="shared" ref="E82:F101" si="4">-Infinity</f>
        <v>#NAME?</v>
      </c>
      <c r="F82" t="e">
        <f t="shared" si="4"/>
        <v>#NAME?</v>
      </c>
      <c r="G82">
        <v>3.35</v>
      </c>
      <c r="H82">
        <v>2085</v>
      </c>
      <c r="I82">
        <v>0</v>
      </c>
      <c r="J82">
        <v>0</v>
      </c>
      <c r="K82" t="s">
        <v>292</v>
      </c>
    </row>
    <row r="83" spans="1:11" x14ac:dyDescent="0.25">
      <c r="A83">
        <v>82</v>
      </c>
      <c r="B83" t="s">
        <v>84</v>
      </c>
      <c r="C83" t="s">
        <v>55</v>
      </c>
      <c r="D83">
        <v>28</v>
      </c>
      <c r="E83" t="e">
        <f t="shared" si="4"/>
        <v>#NAME?</v>
      </c>
      <c r="F83" t="e">
        <f t="shared" si="4"/>
        <v>#NAME?</v>
      </c>
      <c r="G83">
        <v>3.1</v>
      </c>
      <c r="H83">
        <v>2085</v>
      </c>
      <c r="I83">
        <v>0</v>
      </c>
      <c r="J83">
        <v>0</v>
      </c>
      <c r="K83" t="s">
        <v>292</v>
      </c>
    </row>
    <row r="84" spans="1:11" x14ac:dyDescent="0.25">
      <c r="A84">
        <v>83</v>
      </c>
      <c r="B84" t="s">
        <v>115</v>
      </c>
      <c r="C84" t="s">
        <v>46</v>
      </c>
      <c r="D84">
        <v>30</v>
      </c>
      <c r="E84" t="e">
        <f t="shared" si="4"/>
        <v>#NAME?</v>
      </c>
      <c r="F84" t="e">
        <f t="shared" si="4"/>
        <v>#NAME?</v>
      </c>
      <c r="G84">
        <v>2.8</v>
      </c>
      <c r="H84">
        <v>2086</v>
      </c>
      <c r="I84">
        <v>0</v>
      </c>
      <c r="J84">
        <v>0</v>
      </c>
      <c r="K84" t="s">
        <v>292</v>
      </c>
    </row>
    <row r="85" spans="1:11" x14ac:dyDescent="0.25">
      <c r="A85">
        <v>84</v>
      </c>
      <c r="B85" t="s">
        <v>101</v>
      </c>
      <c r="C85" t="s">
        <v>37</v>
      </c>
      <c r="D85">
        <v>24</v>
      </c>
      <c r="E85" t="e">
        <f t="shared" si="4"/>
        <v>#NAME?</v>
      </c>
      <c r="F85" t="e">
        <f t="shared" si="4"/>
        <v>#NAME?</v>
      </c>
      <c r="G85">
        <v>20.98</v>
      </c>
      <c r="H85">
        <v>2088</v>
      </c>
      <c r="I85">
        <v>0</v>
      </c>
      <c r="J85">
        <v>0</v>
      </c>
      <c r="K85" t="s">
        <v>292</v>
      </c>
    </row>
    <row r="86" spans="1:11" x14ac:dyDescent="0.25">
      <c r="A86">
        <v>85</v>
      </c>
      <c r="B86" t="s">
        <v>159</v>
      </c>
      <c r="C86" t="s">
        <v>55</v>
      </c>
      <c r="D86">
        <v>25</v>
      </c>
      <c r="E86" t="e">
        <f t="shared" si="4"/>
        <v>#NAME?</v>
      </c>
      <c r="F86" t="e">
        <f t="shared" si="4"/>
        <v>#NAME?</v>
      </c>
      <c r="G86">
        <v>9.92</v>
      </c>
      <c r="H86">
        <v>2086</v>
      </c>
      <c r="I86">
        <v>0</v>
      </c>
      <c r="J86">
        <v>0</v>
      </c>
      <c r="K86" t="s">
        <v>292</v>
      </c>
    </row>
    <row r="87" spans="1:11" x14ac:dyDescent="0.25">
      <c r="A87">
        <v>86</v>
      </c>
      <c r="B87" t="s">
        <v>168</v>
      </c>
      <c r="C87" t="s">
        <v>53</v>
      </c>
      <c r="D87">
        <v>23</v>
      </c>
      <c r="E87" t="e">
        <f t="shared" si="4"/>
        <v>#NAME?</v>
      </c>
      <c r="F87" t="e">
        <f t="shared" si="4"/>
        <v>#NAME?</v>
      </c>
      <c r="G87">
        <v>4.43</v>
      </c>
      <c r="H87">
        <v>2087</v>
      </c>
      <c r="I87">
        <v>0</v>
      </c>
      <c r="J87">
        <v>0</v>
      </c>
      <c r="K87" t="s">
        <v>292</v>
      </c>
    </row>
    <row r="88" spans="1:11" x14ac:dyDescent="0.25">
      <c r="A88">
        <v>87</v>
      </c>
      <c r="B88" t="s">
        <v>169</v>
      </c>
      <c r="C88" t="s">
        <v>55</v>
      </c>
      <c r="D88">
        <v>37</v>
      </c>
      <c r="E88" t="e">
        <f t="shared" si="4"/>
        <v>#NAME?</v>
      </c>
      <c r="F88" t="e">
        <f t="shared" si="4"/>
        <v>#NAME?</v>
      </c>
      <c r="G88">
        <v>1.33</v>
      </c>
      <c r="H88">
        <v>2086</v>
      </c>
      <c r="I88">
        <v>0</v>
      </c>
      <c r="J88">
        <v>0</v>
      </c>
      <c r="K88" t="s">
        <v>292</v>
      </c>
    </row>
    <row r="89" spans="1:11" x14ac:dyDescent="0.25">
      <c r="A89">
        <v>88</v>
      </c>
      <c r="B89" t="s">
        <v>142</v>
      </c>
      <c r="C89" t="s">
        <v>46</v>
      </c>
      <c r="D89">
        <v>25</v>
      </c>
      <c r="E89" t="e">
        <f t="shared" si="4"/>
        <v>#NAME?</v>
      </c>
      <c r="F89" t="e">
        <f t="shared" si="4"/>
        <v>#NAME?</v>
      </c>
      <c r="G89">
        <v>4.09</v>
      </c>
      <c r="H89">
        <v>2085</v>
      </c>
      <c r="I89">
        <v>0</v>
      </c>
      <c r="J89">
        <v>0</v>
      </c>
      <c r="K89" t="s">
        <v>292</v>
      </c>
    </row>
    <row r="90" spans="1:11" x14ac:dyDescent="0.25">
      <c r="A90">
        <v>89</v>
      </c>
      <c r="B90" t="s">
        <v>70</v>
      </c>
      <c r="C90" t="s">
        <v>41</v>
      </c>
      <c r="D90">
        <v>23</v>
      </c>
      <c r="E90" t="e">
        <f t="shared" si="4"/>
        <v>#NAME?</v>
      </c>
      <c r="F90" t="e">
        <f t="shared" si="4"/>
        <v>#NAME?</v>
      </c>
      <c r="G90">
        <v>31.67</v>
      </c>
      <c r="H90">
        <v>2089</v>
      </c>
      <c r="I90">
        <v>0</v>
      </c>
      <c r="J90">
        <v>0</v>
      </c>
      <c r="K90" t="s">
        <v>292</v>
      </c>
    </row>
    <row r="91" spans="1:11" x14ac:dyDescent="0.25">
      <c r="A91">
        <v>90</v>
      </c>
      <c r="B91" t="s">
        <v>158</v>
      </c>
      <c r="C91" t="s">
        <v>55</v>
      </c>
      <c r="D91">
        <v>23</v>
      </c>
      <c r="E91" t="e">
        <f t="shared" si="4"/>
        <v>#NAME?</v>
      </c>
      <c r="F91" t="e">
        <f t="shared" si="4"/>
        <v>#NAME?</v>
      </c>
      <c r="G91">
        <v>1.52</v>
      </c>
      <c r="H91">
        <v>2085</v>
      </c>
      <c r="I91">
        <v>0</v>
      </c>
      <c r="J91">
        <v>0</v>
      </c>
      <c r="K91" t="s">
        <v>292</v>
      </c>
    </row>
    <row r="92" spans="1:11" x14ac:dyDescent="0.25">
      <c r="A92">
        <v>91</v>
      </c>
      <c r="B92" t="s">
        <v>185</v>
      </c>
      <c r="C92" t="s">
        <v>46</v>
      </c>
      <c r="D92">
        <v>22</v>
      </c>
      <c r="E92" t="e">
        <f t="shared" si="4"/>
        <v>#NAME?</v>
      </c>
      <c r="F92" t="e">
        <f t="shared" si="4"/>
        <v>#NAME?</v>
      </c>
      <c r="G92">
        <v>2.29</v>
      </c>
      <c r="H92">
        <v>2087</v>
      </c>
      <c r="I92">
        <v>0</v>
      </c>
      <c r="J92">
        <v>0</v>
      </c>
      <c r="K92" t="s">
        <v>292</v>
      </c>
    </row>
    <row r="93" spans="1:11" x14ac:dyDescent="0.25">
      <c r="A93">
        <v>92</v>
      </c>
      <c r="B93" t="s">
        <v>131</v>
      </c>
      <c r="C93" t="s">
        <v>53</v>
      </c>
      <c r="D93">
        <v>28</v>
      </c>
      <c r="E93" t="e">
        <f t="shared" si="4"/>
        <v>#NAME?</v>
      </c>
      <c r="F93" t="e">
        <f t="shared" si="4"/>
        <v>#NAME?</v>
      </c>
      <c r="G93">
        <v>2.71</v>
      </c>
      <c r="H93">
        <v>2085</v>
      </c>
      <c r="I93">
        <v>0</v>
      </c>
      <c r="J93">
        <v>0</v>
      </c>
      <c r="K93" t="s">
        <v>292</v>
      </c>
    </row>
    <row r="94" spans="1:11" x14ac:dyDescent="0.25">
      <c r="A94">
        <v>93</v>
      </c>
      <c r="B94" t="s">
        <v>100</v>
      </c>
      <c r="C94" t="s">
        <v>60</v>
      </c>
      <c r="D94">
        <v>28</v>
      </c>
      <c r="E94" t="e">
        <f t="shared" si="4"/>
        <v>#NAME?</v>
      </c>
      <c r="F94" t="e">
        <f t="shared" si="4"/>
        <v>#NAME?</v>
      </c>
      <c r="G94">
        <v>5.34</v>
      </c>
      <c r="H94">
        <v>2086</v>
      </c>
      <c r="I94">
        <v>0</v>
      </c>
      <c r="J94">
        <v>0</v>
      </c>
      <c r="K94" t="s">
        <v>292</v>
      </c>
    </row>
    <row r="95" spans="1:11" x14ac:dyDescent="0.25">
      <c r="A95">
        <v>94</v>
      </c>
      <c r="B95" t="s">
        <v>118</v>
      </c>
      <c r="C95" t="s">
        <v>75</v>
      </c>
      <c r="D95">
        <v>22</v>
      </c>
      <c r="E95" t="e">
        <f t="shared" si="4"/>
        <v>#NAME?</v>
      </c>
      <c r="F95" t="e">
        <f t="shared" si="4"/>
        <v>#NAME?</v>
      </c>
      <c r="G95">
        <v>6.15</v>
      </c>
      <c r="H95">
        <v>2087</v>
      </c>
      <c r="I95">
        <v>0</v>
      </c>
      <c r="J95">
        <v>0</v>
      </c>
      <c r="K95" t="s">
        <v>292</v>
      </c>
    </row>
    <row r="96" spans="1:11" x14ac:dyDescent="0.25">
      <c r="A96">
        <v>95</v>
      </c>
      <c r="B96" t="s">
        <v>156</v>
      </c>
      <c r="C96" t="s">
        <v>55</v>
      </c>
      <c r="D96">
        <v>25</v>
      </c>
      <c r="E96" t="e">
        <f t="shared" si="4"/>
        <v>#NAME?</v>
      </c>
      <c r="F96" t="e">
        <f t="shared" si="4"/>
        <v>#NAME?</v>
      </c>
      <c r="G96">
        <v>7.75</v>
      </c>
      <c r="H96">
        <v>2086</v>
      </c>
      <c r="I96">
        <v>0</v>
      </c>
      <c r="J96">
        <v>0</v>
      </c>
      <c r="K96" t="s">
        <v>292</v>
      </c>
    </row>
    <row r="97" spans="1:11" x14ac:dyDescent="0.25">
      <c r="A97">
        <v>96</v>
      </c>
      <c r="B97" t="s">
        <v>182</v>
      </c>
      <c r="C97" t="s">
        <v>75</v>
      </c>
      <c r="D97">
        <v>19</v>
      </c>
      <c r="E97" t="e">
        <f t="shared" si="4"/>
        <v>#NAME?</v>
      </c>
      <c r="F97" t="e">
        <f t="shared" si="4"/>
        <v>#NAME?</v>
      </c>
      <c r="G97">
        <v>3.35</v>
      </c>
      <c r="H97">
        <v>2087</v>
      </c>
      <c r="I97">
        <v>0</v>
      </c>
      <c r="J97">
        <v>0</v>
      </c>
      <c r="K97" t="s">
        <v>292</v>
      </c>
    </row>
    <row r="98" spans="1:11" x14ac:dyDescent="0.25">
      <c r="A98">
        <v>97</v>
      </c>
      <c r="B98" t="s">
        <v>126</v>
      </c>
      <c r="C98" t="s">
        <v>53</v>
      </c>
      <c r="D98">
        <v>22</v>
      </c>
      <c r="E98" t="e">
        <f t="shared" si="4"/>
        <v>#NAME?</v>
      </c>
      <c r="F98" t="e">
        <f t="shared" si="4"/>
        <v>#NAME?</v>
      </c>
      <c r="G98">
        <v>6.22</v>
      </c>
      <c r="H98">
        <v>2087</v>
      </c>
      <c r="I98">
        <v>0</v>
      </c>
      <c r="J98">
        <v>0</v>
      </c>
      <c r="K98" t="s">
        <v>292</v>
      </c>
    </row>
    <row r="99" spans="1:11" x14ac:dyDescent="0.25">
      <c r="A99">
        <v>98</v>
      </c>
      <c r="B99" t="s">
        <v>143</v>
      </c>
      <c r="C99" t="s">
        <v>35</v>
      </c>
      <c r="D99">
        <v>30</v>
      </c>
      <c r="E99" t="e">
        <f t="shared" si="4"/>
        <v>#NAME?</v>
      </c>
      <c r="F99" t="e">
        <f t="shared" si="4"/>
        <v>#NAME?</v>
      </c>
      <c r="G99">
        <v>1.33</v>
      </c>
      <c r="H99">
        <v>2085</v>
      </c>
      <c r="I99">
        <v>0</v>
      </c>
      <c r="J99">
        <v>0</v>
      </c>
      <c r="K99" t="s">
        <v>292</v>
      </c>
    </row>
    <row r="100" spans="1:11" x14ac:dyDescent="0.25">
      <c r="A100">
        <v>99</v>
      </c>
      <c r="B100" t="s">
        <v>140</v>
      </c>
      <c r="C100" t="s">
        <v>41</v>
      </c>
      <c r="D100">
        <v>28</v>
      </c>
      <c r="E100" t="e">
        <f t="shared" si="4"/>
        <v>#NAME?</v>
      </c>
      <c r="F100" t="e">
        <f t="shared" si="4"/>
        <v>#NAME?</v>
      </c>
      <c r="G100">
        <v>2.34</v>
      </c>
      <c r="H100">
        <v>2085</v>
      </c>
      <c r="I100">
        <v>0</v>
      </c>
      <c r="J100">
        <v>0</v>
      </c>
      <c r="K100" t="s">
        <v>292</v>
      </c>
    </row>
    <row r="101" spans="1:11" x14ac:dyDescent="0.25">
      <c r="A101">
        <v>100</v>
      </c>
      <c r="B101" t="s">
        <v>132</v>
      </c>
      <c r="C101" t="s">
        <v>75</v>
      </c>
      <c r="D101">
        <v>28</v>
      </c>
      <c r="E101" t="e">
        <f t="shared" si="4"/>
        <v>#NAME?</v>
      </c>
      <c r="F101" t="e">
        <f t="shared" si="4"/>
        <v>#NAME?</v>
      </c>
      <c r="G101">
        <v>0.86</v>
      </c>
      <c r="H101">
        <v>2085</v>
      </c>
      <c r="I101">
        <v>0</v>
      </c>
      <c r="J101">
        <v>0</v>
      </c>
      <c r="K101" t="s">
        <v>292</v>
      </c>
    </row>
    <row r="102" spans="1:11" x14ac:dyDescent="0.25">
      <c r="A102">
        <v>101</v>
      </c>
      <c r="B102" t="s">
        <v>186</v>
      </c>
      <c r="C102" t="s">
        <v>43</v>
      </c>
      <c r="D102">
        <v>24</v>
      </c>
      <c r="E102" t="e">
        <f t="shared" ref="E102:F121" si="5">-Infinity</f>
        <v>#NAME?</v>
      </c>
      <c r="F102" t="e">
        <f t="shared" si="5"/>
        <v>#NAME?</v>
      </c>
      <c r="G102">
        <v>3.55</v>
      </c>
      <c r="H102">
        <v>2087</v>
      </c>
      <c r="I102">
        <v>0</v>
      </c>
      <c r="J102">
        <v>0</v>
      </c>
      <c r="K102" t="s">
        <v>292</v>
      </c>
    </row>
    <row r="103" spans="1:11" x14ac:dyDescent="0.25">
      <c r="A103">
        <v>102</v>
      </c>
      <c r="B103" t="s">
        <v>177</v>
      </c>
      <c r="C103" t="s">
        <v>53</v>
      </c>
      <c r="D103">
        <v>33</v>
      </c>
      <c r="E103" t="e">
        <f t="shared" si="5"/>
        <v>#NAME?</v>
      </c>
      <c r="F103" t="e">
        <f t="shared" si="5"/>
        <v>#NAME?</v>
      </c>
      <c r="G103">
        <v>1.05</v>
      </c>
      <c r="H103">
        <v>2086</v>
      </c>
      <c r="I103">
        <v>0</v>
      </c>
      <c r="J103">
        <v>0</v>
      </c>
      <c r="K103" t="s">
        <v>292</v>
      </c>
    </row>
    <row r="104" spans="1:11" x14ac:dyDescent="0.25">
      <c r="A104">
        <v>103</v>
      </c>
      <c r="B104" t="s">
        <v>134</v>
      </c>
      <c r="C104" t="s">
        <v>55</v>
      </c>
      <c r="D104">
        <v>21</v>
      </c>
      <c r="E104" t="e">
        <f t="shared" si="5"/>
        <v>#NAME?</v>
      </c>
      <c r="F104" t="e">
        <f t="shared" si="5"/>
        <v>#NAME?</v>
      </c>
      <c r="G104">
        <v>5.44</v>
      </c>
      <c r="H104">
        <v>2085</v>
      </c>
      <c r="I104">
        <v>0</v>
      </c>
      <c r="J104">
        <v>0</v>
      </c>
      <c r="K104" t="s">
        <v>292</v>
      </c>
    </row>
    <row r="105" spans="1:11" x14ac:dyDescent="0.25">
      <c r="A105">
        <v>104</v>
      </c>
      <c r="B105" t="s">
        <v>149</v>
      </c>
      <c r="C105" t="s">
        <v>60</v>
      </c>
      <c r="D105">
        <v>34</v>
      </c>
      <c r="E105" t="e">
        <f t="shared" si="5"/>
        <v>#NAME?</v>
      </c>
      <c r="F105" t="e">
        <f t="shared" si="5"/>
        <v>#NAME?</v>
      </c>
      <c r="G105">
        <v>0.83</v>
      </c>
      <c r="H105">
        <v>2085</v>
      </c>
      <c r="I105">
        <v>0</v>
      </c>
      <c r="J105">
        <v>0</v>
      </c>
      <c r="K105" t="s">
        <v>292</v>
      </c>
    </row>
    <row r="106" spans="1:11" x14ac:dyDescent="0.25">
      <c r="A106">
        <v>105</v>
      </c>
      <c r="B106" t="s">
        <v>166</v>
      </c>
      <c r="C106" t="s">
        <v>55</v>
      </c>
      <c r="D106">
        <v>27</v>
      </c>
      <c r="E106" t="e">
        <f t="shared" si="5"/>
        <v>#NAME?</v>
      </c>
      <c r="F106" t="e">
        <f t="shared" si="5"/>
        <v>#NAME?</v>
      </c>
      <c r="G106">
        <v>1.84</v>
      </c>
      <c r="H106">
        <v>2086</v>
      </c>
      <c r="I106">
        <v>0</v>
      </c>
      <c r="J106">
        <v>0</v>
      </c>
      <c r="K106" t="s">
        <v>292</v>
      </c>
    </row>
    <row r="107" spans="1:11" x14ac:dyDescent="0.25">
      <c r="A107">
        <v>106</v>
      </c>
      <c r="B107" t="s">
        <v>107</v>
      </c>
      <c r="C107" t="s">
        <v>35</v>
      </c>
      <c r="D107">
        <v>26</v>
      </c>
      <c r="E107" t="e">
        <f t="shared" si="5"/>
        <v>#NAME?</v>
      </c>
      <c r="F107" t="e">
        <f t="shared" si="5"/>
        <v>#NAME?</v>
      </c>
      <c r="G107">
        <v>2.2200000000000002</v>
      </c>
      <c r="H107">
        <v>2088</v>
      </c>
      <c r="I107">
        <v>0</v>
      </c>
      <c r="J107">
        <v>0</v>
      </c>
      <c r="K107" t="s">
        <v>292</v>
      </c>
    </row>
    <row r="108" spans="1:11" x14ac:dyDescent="0.25">
      <c r="A108">
        <v>107</v>
      </c>
      <c r="B108" t="s">
        <v>148</v>
      </c>
      <c r="C108" t="s">
        <v>46</v>
      </c>
      <c r="D108">
        <v>25</v>
      </c>
      <c r="E108" t="e">
        <f t="shared" si="5"/>
        <v>#NAME?</v>
      </c>
      <c r="F108" t="e">
        <f t="shared" si="5"/>
        <v>#NAME?</v>
      </c>
      <c r="G108">
        <v>1.78</v>
      </c>
      <c r="H108">
        <v>2087</v>
      </c>
      <c r="I108">
        <v>0</v>
      </c>
      <c r="J108">
        <v>0</v>
      </c>
      <c r="K108" t="s">
        <v>292</v>
      </c>
    </row>
    <row r="109" spans="1:11" x14ac:dyDescent="0.25">
      <c r="A109">
        <v>108</v>
      </c>
      <c r="B109" t="s">
        <v>137</v>
      </c>
      <c r="C109" t="s">
        <v>75</v>
      </c>
      <c r="D109">
        <v>31</v>
      </c>
      <c r="E109" t="e">
        <f t="shared" si="5"/>
        <v>#NAME?</v>
      </c>
      <c r="F109" t="e">
        <f t="shared" si="5"/>
        <v>#NAME?</v>
      </c>
      <c r="G109">
        <v>2.5099999999999998</v>
      </c>
      <c r="H109">
        <v>2085</v>
      </c>
      <c r="I109">
        <v>0</v>
      </c>
      <c r="J109">
        <v>0</v>
      </c>
      <c r="K109" t="s">
        <v>292</v>
      </c>
    </row>
    <row r="110" spans="1:11" x14ac:dyDescent="0.25">
      <c r="A110">
        <v>109</v>
      </c>
      <c r="B110" t="s">
        <v>201</v>
      </c>
      <c r="C110" t="s">
        <v>46</v>
      </c>
      <c r="D110">
        <v>24</v>
      </c>
      <c r="E110" t="e">
        <f t="shared" si="5"/>
        <v>#NAME?</v>
      </c>
      <c r="F110" t="e">
        <f t="shared" si="5"/>
        <v>#NAME?</v>
      </c>
      <c r="G110">
        <v>3.11</v>
      </c>
      <c r="H110">
        <v>2086</v>
      </c>
      <c r="I110">
        <v>0</v>
      </c>
      <c r="J110">
        <v>0</v>
      </c>
      <c r="K110" t="s">
        <v>292</v>
      </c>
    </row>
    <row r="111" spans="1:11" x14ac:dyDescent="0.25">
      <c r="A111">
        <v>110</v>
      </c>
      <c r="B111" t="s">
        <v>124</v>
      </c>
      <c r="C111" t="s">
        <v>55</v>
      </c>
      <c r="D111">
        <v>21</v>
      </c>
      <c r="E111" t="e">
        <f t="shared" si="5"/>
        <v>#NAME?</v>
      </c>
      <c r="F111" t="e">
        <f t="shared" si="5"/>
        <v>#NAME?</v>
      </c>
      <c r="G111">
        <v>1.79</v>
      </c>
      <c r="H111">
        <v>2086</v>
      </c>
      <c r="I111">
        <v>0</v>
      </c>
      <c r="J111">
        <v>0</v>
      </c>
      <c r="K111" t="s">
        <v>292</v>
      </c>
    </row>
    <row r="112" spans="1:11" x14ac:dyDescent="0.25">
      <c r="A112">
        <v>111</v>
      </c>
      <c r="B112" t="s">
        <v>160</v>
      </c>
      <c r="C112" t="s">
        <v>46</v>
      </c>
      <c r="D112">
        <v>34</v>
      </c>
      <c r="E112" t="e">
        <f t="shared" si="5"/>
        <v>#NAME?</v>
      </c>
      <c r="F112" t="e">
        <f t="shared" si="5"/>
        <v>#NAME?</v>
      </c>
      <c r="G112">
        <v>1.66</v>
      </c>
      <c r="H112">
        <v>2085</v>
      </c>
      <c r="I112">
        <v>0</v>
      </c>
      <c r="J112">
        <v>0</v>
      </c>
      <c r="K112" t="s">
        <v>292</v>
      </c>
    </row>
    <row r="113" spans="1:11" x14ac:dyDescent="0.25">
      <c r="A113">
        <v>112</v>
      </c>
      <c r="B113" t="s">
        <v>123</v>
      </c>
      <c r="C113" t="s">
        <v>55</v>
      </c>
      <c r="D113">
        <v>31</v>
      </c>
      <c r="E113" t="e">
        <f t="shared" si="5"/>
        <v>#NAME?</v>
      </c>
      <c r="F113" t="e">
        <f t="shared" si="5"/>
        <v>#NAME?</v>
      </c>
      <c r="G113">
        <v>5.94</v>
      </c>
      <c r="H113">
        <v>2085</v>
      </c>
      <c r="I113">
        <v>0</v>
      </c>
      <c r="J113">
        <v>0</v>
      </c>
      <c r="K113" t="s">
        <v>292</v>
      </c>
    </row>
    <row r="114" spans="1:11" x14ac:dyDescent="0.25">
      <c r="A114">
        <v>113</v>
      </c>
      <c r="B114" t="s">
        <v>163</v>
      </c>
      <c r="C114" t="s">
        <v>55</v>
      </c>
      <c r="D114">
        <v>36</v>
      </c>
      <c r="E114" t="e">
        <f t="shared" si="5"/>
        <v>#NAME?</v>
      </c>
      <c r="F114" t="e">
        <f t="shared" si="5"/>
        <v>#NAME?</v>
      </c>
      <c r="G114">
        <v>0.8</v>
      </c>
      <c r="H114">
        <v>2086</v>
      </c>
      <c r="I114">
        <v>0</v>
      </c>
      <c r="J114">
        <v>0</v>
      </c>
      <c r="K114" t="s">
        <v>292</v>
      </c>
    </row>
    <row r="115" spans="1:11" x14ac:dyDescent="0.25">
      <c r="A115">
        <v>114</v>
      </c>
      <c r="B115" t="s">
        <v>184</v>
      </c>
      <c r="C115" t="s">
        <v>46</v>
      </c>
      <c r="D115">
        <v>37</v>
      </c>
      <c r="E115" t="e">
        <f t="shared" si="5"/>
        <v>#NAME?</v>
      </c>
      <c r="F115" t="e">
        <f t="shared" si="5"/>
        <v>#NAME?</v>
      </c>
      <c r="G115">
        <v>1.53</v>
      </c>
      <c r="H115">
        <v>2086</v>
      </c>
      <c r="I115">
        <v>0</v>
      </c>
      <c r="J115">
        <v>0</v>
      </c>
      <c r="K115" t="s">
        <v>292</v>
      </c>
    </row>
    <row r="116" spans="1:11" x14ac:dyDescent="0.25">
      <c r="A116">
        <v>115</v>
      </c>
      <c r="B116" t="s">
        <v>141</v>
      </c>
      <c r="C116" t="s">
        <v>37</v>
      </c>
      <c r="D116">
        <v>25</v>
      </c>
      <c r="E116" t="e">
        <f t="shared" si="5"/>
        <v>#NAME?</v>
      </c>
      <c r="F116" t="e">
        <f t="shared" si="5"/>
        <v>#NAME?</v>
      </c>
      <c r="G116">
        <v>3.31</v>
      </c>
      <c r="H116">
        <v>2088</v>
      </c>
      <c r="I116">
        <v>0</v>
      </c>
      <c r="J116">
        <v>0</v>
      </c>
      <c r="K116" t="s">
        <v>292</v>
      </c>
    </row>
    <row r="117" spans="1:11" x14ac:dyDescent="0.25">
      <c r="A117">
        <v>116</v>
      </c>
      <c r="B117" t="s">
        <v>133</v>
      </c>
      <c r="C117" t="s">
        <v>35</v>
      </c>
      <c r="D117">
        <v>24</v>
      </c>
      <c r="E117" t="e">
        <f t="shared" si="5"/>
        <v>#NAME?</v>
      </c>
      <c r="F117" t="e">
        <f t="shared" si="5"/>
        <v>#NAME?</v>
      </c>
      <c r="G117">
        <v>2.68</v>
      </c>
      <c r="H117">
        <v>2087</v>
      </c>
      <c r="I117">
        <v>0</v>
      </c>
      <c r="J117">
        <v>0</v>
      </c>
      <c r="K117" t="s">
        <v>292</v>
      </c>
    </row>
    <row r="118" spans="1:11" x14ac:dyDescent="0.25">
      <c r="A118">
        <v>117</v>
      </c>
      <c r="B118" t="s">
        <v>154</v>
      </c>
      <c r="C118" t="s">
        <v>60</v>
      </c>
      <c r="D118">
        <v>28</v>
      </c>
      <c r="E118" t="e">
        <f t="shared" si="5"/>
        <v>#NAME?</v>
      </c>
      <c r="F118" t="e">
        <f t="shared" si="5"/>
        <v>#NAME?</v>
      </c>
      <c r="G118">
        <v>1.78</v>
      </c>
      <c r="H118">
        <v>2087</v>
      </c>
      <c r="I118">
        <v>0</v>
      </c>
      <c r="J118">
        <v>0</v>
      </c>
      <c r="K118" t="s">
        <v>292</v>
      </c>
    </row>
    <row r="119" spans="1:11" x14ac:dyDescent="0.25">
      <c r="A119">
        <v>118</v>
      </c>
      <c r="B119" t="s">
        <v>116</v>
      </c>
      <c r="C119" t="s">
        <v>41</v>
      </c>
      <c r="D119">
        <v>26</v>
      </c>
      <c r="E119" t="e">
        <f t="shared" si="5"/>
        <v>#NAME?</v>
      </c>
      <c r="F119" t="e">
        <f t="shared" si="5"/>
        <v>#NAME?</v>
      </c>
      <c r="G119">
        <v>7.13</v>
      </c>
      <c r="H119">
        <v>2088</v>
      </c>
      <c r="I119">
        <v>0</v>
      </c>
      <c r="J119">
        <v>0</v>
      </c>
      <c r="K119" t="s">
        <v>292</v>
      </c>
    </row>
    <row r="120" spans="1:11" x14ac:dyDescent="0.25">
      <c r="A120">
        <v>119</v>
      </c>
      <c r="B120" t="s">
        <v>202</v>
      </c>
      <c r="C120" t="s">
        <v>55</v>
      </c>
      <c r="D120">
        <v>24</v>
      </c>
      <c r="E120" t="e">
        <f t="shared" si="5"/>
        <v>#NAME?</v>
      </c>
      <c r="F120" t="e">
        <f t="shared" si="5"/>
        <v>#NAME?</v>
      </c>
      <c r="G120">
        <v>2.2799999999999998</v>
      </c>
      <c r="H120">
        <v>2086</v>
      </c>
      <c r="I120">
        <v>0</v>
      </c>
      <c r="J120">
        <v>0</v>
      </c>
      <c r="K120" t="s">
        <v>292</v>
      </c>
    </row>
    <row r="121" spans="1:11" x14ac:dyDescent="0.25">
      <c r="A121">
        <v>120</v>
      </c>
      <c r="B121" t="s">
        <v>150</v>
      </c>
      <c r="C121" t="s">
        <v>35</v>
      </c>
      <c r="D121">
        <v>23</v>
      </c>
      <c r="E121" t="e">
        <f t="shared" si="5"/>
        <v>#NAME?</v>
      </c>
      <c r="F121" t="e">
        <f t="shared" si="5"/>
        <v>#NAME?</v>
      </c>
      <c r="G121">
        <v>5.61</v>
      </c>
      <c r="H121">
        <v>2086</v>
      </c>
      <c r="I121">
        <v>0</v>
      </c>
      <c r="J121">
        <v>0</v>
      </c>
      <c r="K121" t="s">
        <v>292</v>
      </c>
    </row>
    <row r="122" spans="1:11" x14ac:dyDescent="0.25">
      <c r="A122">
        <v>121</v>
      </c>
      <c r="B122" t="s">
        <v>197</v>
      </c>
      <c r="C122" t="s">
        <v>46</v>
      </c>
      <c r="D122">
        <v>23</v>
      </c>
      <c r="E122" t="e">
        <f t="shared" ref="E122:F141" si="6">-Infinity</f>
        <v>#NAME?</v>
      </c>
      <c r="F122" t="e">
        <f t="shared" si="6"/>
        <v>#NAME?</v>
      </c>
      <c r="G122">
        <v>4.7699999999999996</v>
      </c>
      <c r="H122">
        <v>2086</v>
      </c>
      <c r="I122">
        <v>0</v>
      </c>
      <c r="J122">
        <v>0</v>
      </c>
      <c r="K122" t="s">
        <v>292</v>
      </c>
    </row>
    <row r="123" spans="1:11" x14ac:dyDescent="0.25">
      <c r="A123">
        <v>122</v>
      </c>
      <c r="B123" t="s">
        <v>114</v>
      </c>
      <c r="C123" t="s">
        <v>41</v>
      </c>
      <c r="D123">
        <v>24</v>
      </c>
      <c r="E123" t="e">
        <f t="shared" si="6"/>
        <v>#NAME?</v>
      </c>
      <c r="F123" t="e">
        <f t="shared" si="6"/>
        <v>#NAME?</v>
      </c>
      <c r="G123">
        <v>2.83</v>
      </c>
      <c r="H123">
        <v>2086</v>
      </c>
      <c r="I123">
        <v>0</v>
      </c>
      <c r="J123">
        <v>0</v>
      </c>
      <c r="K123" t="s">
        <v>292</v>
      </c>
    </row>
    <row r="124" spans="1:11" x14ac:dyDescent="0.25">
      <c r="A124">
        <v>123</v>
      </c>
      <c r="B124" t="s">
        <v>97</v>
      </c>
      <c r="C124" t="s">
        <v>46</v>
      </c>
      <c r="D124">
        <v>28</v>
      </c>
      <c r="E124" t="e">
        <f t="shared" si="6"/>
        <v>#NAME?</v>
      </c>
      <c r="F124" t="e">
        <f t="shared" si="6"/>
        <v>#NAME?</v>
      </c>
      <c r="G124">
        <v>4.32</v>
      </c>
      <c r="H124">
        <v>2085</v>
      </c>
      <c r="I124">
        <v>0</v>
      </c>
      <c r="J124">
        <v>0</v>
      </c>
      <c r="K124" t="s">
        <v>292</v>
      </c>
    </row>
    <row r="125" spans="1:11" x14ac:dyDescent="0.25">
      <c r="A125">
        <v>124</v>
      </c>
      <c r="B125" t="s">
        <v>108</v>
      </c>
      <c r="C125" t="s">
        <v>37</v>
      </c>
      <c r="D125">
        <v>28</v>
      </c>
      <c r="E125" t="e">
        <f t="shared" si="6"/>
        <v>#NAME?</v>
      </c>
      <c r="F125" t="e">
        <f t="shared" si="6"/>
        <v>#NAME?</v>
      </c>
      <c r="G125">
        <v>1.69</v>
      </c>
      <c r="H125">
        <v>2085</v>
      </c>
      <c r="I125">
        <v>0</v>
      </c>
      <c r="J125">
        <v>0</v>
      </c>
      <c r="K125" t="s">
        <v>292</v>
      </c>
    </row>
    <row r="126" spans="1:11" x14ac:dyDescent="0.25">
      <c r="A126">
        <v>125</v>
      </c>
      <c r="B126" t="s">
        <v>106</v>
      </c>
      <c r="C126" t="s">
        <v>41</v>
      </c>
      <c r="D126">
        <v>23</v>
      </c>
      <c r="E126" t="e">
        <f t="shared" si="6"/>
        <v>#NAME?</v>
      </c>
      <c r="F126" t="e">
        <f t="shared" si="6"/>
        <v>#NAME?</v>
      </c>
      <c r="G126">
        <v>22.8</v>
      </c>
      <c r="H126">
        <v>2088</v>
      </c>
      <c r="I126">
        <v>0</v>
      </c>
      <c r="J126">
        <v>0</v>
      </c>
      <c r="K126" t="s">
        <v>292</v>
      </c>
    </row>
    <row r="127" spans="1:11" x14ac:dyDescent="0.25">
      <c r="A127">
        <v>126</v>
      </c>
      <c r="B127" t="s">
        <v>138</v>
      </c>
      <c r="C127" t="s">
        <v>53</v>
      </c>
      <c r="D127">
        <v>28</v>
      </c>
      <c r="E127" t="e">
        <f t="shared" si="6"/>
        <v>#NAME?</v>
      </c>
      <c r="F127" t="e">
        <f t="shared" si="6"/>
        <v>#NAME?</v>
      </c>
      <c r="G127">
        <v>5.77</v>
      </c>
      <c r="H127">
        <v>2087</v>
      </c>
      <c r="I127">
        <v>0</v>
      </c>
      <c r="J127">
        <v>0</v>
      </c>
      <c r="K127" t="s">
        <v>292</v>
      </c>
    </row>
    <row r="128" spans="1:11" x14ac:dyDescent="0.25">
      <c r="A128">
        <v>127</v>
      </c>
      <c r="B128" t="s">
        <v>173</v>
      </c>
      <c r="C128" t="s">
        <v>55</v>
      </c>
      <c r="D128">
        <v>30</v>
      </c>
      <c r="E128" t="e">
        <f t="shared" si="6"/>
        <v>#NAME?</v>
      </c>
      <c r="F128" t="e">
        <f t="shared" si="6"/>
        <v>#NAME?</v>
      </c>
      <c r="G128">
        <v>3.18</v>
      </c>
      <c r="H128">
        <v>2086</v>
      </c>
      <c r="I128">
        <v>0</v>
      </c>
      <c r="J128">
        <v>0</v>
      </c>
      <c r="K128" t="s">
        <v>292</v>
      </c>
    </row>
    <row r="129" spans="1:11" x14ac:dyDescent="0.25">
      <c r="A129">
        <v>128</v>
      </c>
      <c r="B129" t="s">
        <v>175</v>
      </c>
      <c r="C129" t="s">
        <v>55</v>
      </c>
      <c r="D129">
        <v>30</v>
      </c>
      <c r="E129" t="e">
        <f t="shared" si="6"/>
        <v>#NAME?</v>
      </c>
      <c r="F129" t="e">
        <f t="shared" si="6"/>
        <v>#NAME?</v>
      </c>
      <c r="G129">
        <v>3.56</v>
      </c>
      <c r="H129">
        <v>2086</v>
      </c>
      <c r="I129">
        <v>0</v>
      </c>
      <c r="J129">
        <v>0</v>
      </c>
      <c r="K129" t="s">
        <v>292</v>
      </c>
    </row>
    <row r="130" spans="1:11" x14ac:dyDescent="0.25">
      <c r="A130">
        <v>129</v>
      </c>
      <c r="B130" t="s">
        <v>191</v>
      </c>
      <c r="C130" t="s">
        <v>75</v>
      </c>
      <c r="D130">
        <v>19</v>
      </c>
      <c r="E130" t="e">
        <f t="shared" si="6"/>
        <v>#NAME?</v>
      </c>
      <c r="F130" t="e">
        <f t="shared" si="6"/>
        <v>#NAME?</v>
      </c>
      <c r="G130">
        <v>4.66</v>
      </c>
      <c r="H130">
        <v>2087</v>
      </c>
      <c r="I130">
        <v>0</v>
      </c>
      <c r="J130">
        <v>0</v>
      </c>
      <c r="K130" t="s">
        <v>292</v>
      </c>
    </row>
    <row r="131" spans="1:11" x14ac:dyDescent="0.25">
      <c r="A131">
        <v>130</v>
      </c>
      <c r="B131" t="s">
        <v>144</v>
      </c>
      <c r="C131" t="s">
        <v>75</v>
      </c>
      <c r="D131">
        <v>26</v>
      </c>
      <c r="E131" t="e">
        <f t="shared" si="6"/>
        <v>#NAME?</v>
      </c>
      <c r="F131" t="e">
        <f t="shared" si="6"/>
        <v>#NAME?</v>
      </c>
      <c r="G131">
        <v>4.51</v>
      </c>
      <c r="H131">
        <v>2088</v>
      </c>
      <c r="I131">
        <v>0</v>
      </c>
      <c r="J131">
        <v>0</v>
      </c>
      <c r="K131" t="s">
        <v>292</v>
      </c>
    </row>
    <row r="132" spans="1:11" x14ac:dyDescent="0.25">
      <c r="A132">
        <v>131</v>
      </c>
      <c r="B132" t="s">
        <v>167</v>
      </c>
      <c r="C132" t="s">
        <v>35</v>
      </c>
      <c r="D132">
        <v>21</v>
      </c>
      <c r="E132" t="e">
        <f t="shared" si="6"/>
        <v>#NAME?</v>
      </c>
      <c r="F132" t="e">
        <f t="shared" si="6"/>
        <v>#NAME?</v>
      </c>
      <c r="G132">
        <v>4.66</v>
      </c>
      <c r="H132">
        <v>2086</v>
      </c>
      <c r="I132">
        <v>0</v>
      </c>
      <c r="J132">
        <v>0</v>
      </c>
      <c r="K132" t="s">
        <v>292</v>
      </c>
    </row>
    <row r="133" spans="1:11" x14ac:dyDescent="0.25">
      <c r="A133">
        <v>132</v>
      </c>
      <c r="B133" t="s">
        <v>171</v>
      </c>
      <c r="C133" t="s">
        <v>75</v>
      </c>
      <c r="D133">
        <v>20</v>
      </c>
      <c r="E133" t="e">
        <f t="shared" si="6"/>
        <v>#NAME?</v>
      </c>
      <c r="F133" t="e">
        <f t="shared" si="6"/>
        <v>#NAME?</v>
      </c>
      <c r="G133">
        <v>5.44</v>
      </c>
      <c r="H133">
        <v>2087</v>
      </c>
      <c r="I133">
        <v>0</v>
      </c>
      <c r="J133">
        <v>0</v>
      </c>
      <c r="K133" t="s">
        <v>292</v>
      </c>
    </row>
    <row r="134" spans="1:11" x14ac:dyDescent="0.25">
      <c r="A134">
        <v>133</v>
      </c>
      <c r="B134" t="s">
        <v>198</v>
      </c>
      <c r="C134" t="s">
        <v>43</v>
      </c>
      <c r="D134">
        <v>27</v>
      </c>
      <c r="E134" t="e">
        <f t="shared" si="6"/>
        <v>#NAME?</v>
      </c>
      <c r="F134" t="e">
        <f t="shared" si="6"/>
        <v>#NAME?</v>
      </c>
      <c r="G134">
        <v>1.38</v>
      </c>
      <c r="H134">
        <v>2086</v>
      </c>
      <c r="I134">
        <v>0</v>
      </c>
      <c r="J134">
        <v>0</v>
      </c>
      <c r="K134" t="s">
        <v>292</v>
      </c>
    </row>
    <row r="135" spans="1:11" x14ac:dyDescent="0.25">
      <c r="A135">
        <v>134</v>
      </c>
      <c r="B135" t="s">
        <v>172</v>
      </c>
      <c r="C135" t="s">
        <v>35</v>
      </c>
      <c r="D135">
        <v>29</v>
      </c>
      <c r="E135" t="e">
        <f t="shared" si="6"/>
        <v>#NAME?</v>
      </c>
      <c r="F135" t="e">
        <f t="shared" si="6"/>
        <v>#NAME?</v>
      </c>
      <c r="G135">
        <v>1.45</v>
      </c>
      <c r="H135">
        <v>2086</v>
      </c>
      <c r="I135">
        <v>0</v>
      </c>
      <c r="J135">
        <v>0</v>
      </c>
      <c r="K135" t="s">
        <v>292</v>
      </c>
    </row>
    <row r="136" spans="1:11" x14ac:dyDescent="0.25">
      <c r="A136">
        <v>135</v>
      </c>
      <c r="B136" t="s">
        <v>196</v>
      </c>
      <c r="C136" t="s">
        <v>43</v>
      </c>
      <c r="D136">
        <v>29</v>
      </c>
      <c r="E136" t="e">
        <f t="shared" si="6"/>
        <v>#NAME?</v>
      </c>
      <c r="F136" t="e">
        <f t="shared" si="6"/>
        <v>#NAME?</v>
      </c>
      <c r="G136">
        <v>0.92</v>
      </c>
      <c r="H136">
        <v>2085</v>
      </c>
      <c r="I136">
        <v>0</v>
      </c>
      <c r="J136">
        <v>0</v>
      </c>
      <c r="K136" t="s">
        <v>292</v>
      </c>
    </row>
    <row r="137" spans="1:11" x14ac:dyDescent="0.25">
      <c r="A137">
        <v>136</v>
      </c>
      <c r="B137" t="s">
        <v>165</v>
      </c>
      <c r="C137" t="s">
        <v>75</v>
      </c>
      <c r="D137">
        <v>27</v>
      </c>
      <c r="E137" t="e">
        <f t="shared" si="6"/>
        <v>#NAME?</v>
      </c>
      <c r="F137" t="e">
        <f t="shared" si="6"/>
        <v>#NAME?</v>
      </c>
      <c r="G137">
        <v>1.57</v>
      </c>
      <c r="H137">
        <v>2085</v>
      </c>
      <c r="I137">
        <v>0</v>
      </c>
      <c r="J137">
        <v>0</v>
      </c>
      <c r="K137" t="s">
        <v>292</v>
      </c>
    </row>
    <row r="138" spans="1:11" x14ac:dyDescent="0.25">
      <c r="A138">
        <v>137</v>
      </c>
      <c r="B138" t="s">
        <v>200</v>
      </c>
      <c r="C138" t="s">
        <v>37</v>
      </c>
      <c r="D138">
        <v>20</v>
      </c>
      <c r="E138" t="e">
        <f t="shared" si="6"/>
        <v>#NAME?</v>
      </c>
      <c r="F138" t="e">
        <f t="shared" si="6"/>
        <v>#NAME?</v>
      </c>
      <c r="G138">
        <v>1.79</v>
      </c>
      <c r="H138">
        <v>2087</v>
      </c>
      <c r="I138">
        <v>0</v>
      </c>
      <c r="J138">
        <v>0</v>
      </c>
      <c r="K138" t="s">
        <v>292</v>
      </c>
    </row>
    <row r="139" spans="1:11" x14ac:dyDescent="0.25">
      <c r="A139">
        <v>138</v>
      </c>
      <c r="B139" t="s">
        <v>188</v>
      </c>
      <c r="C139" t="s">
        <v>53</v>
      </c>
      <c r="D139">
        <v>30</v>
      </c>
      <c r="E139" t="e">
        <f t="shared" si="6"/>
        <v>#NAME?</v>
      </c>
      <c r="F139" t="e">
        <f t="shared" si="6"/>
        <v>#NAME?</v>
      </c>
      <c r="G139">
        <v>1.3</v>
      </c>
      <c r="H139">
        <v>2085</v>
      </c>
      <c r="I139">
        <v>0</v>
      </c>
      <c r="J139">
        <v>0</v>
      </c>
      <c r="K139" t="s">
        <v>292</v>
      </c>
    </row>
    <row r="140" spans="1:11" x14ac:dyDescent="0.25">
      <c r="A140">
        <v>139</v>
      </c>
      <c r="B140" t="s">
        <v>157</v>
      </c>
      <c r="C140" t="s">
        <v>55</v>
      </c>
      <c r="D140">
        <v>31</v>
      </c>
      <c r="E140" t="e">
        <f t="shared" si="6"/>
        <v>#NAME?</v>
      </c>
      <c r="F140" t="e">
        <f t="shared" si="6"/>
        <v>#NAME?</v>
      </c>
      <c r="G140">
        <v>1.71</v>
      </c>
      <c r="H140">
        <v>2086</v>
      </c>
      <c r="I140">
        <v>0</v>
      </c>
      <c r="J140">
        <v>0</v>
      </c>
      <c r="K140" t="s">
        <v>292</v>
      </c>
    </row>
    <row r="141" spans="1:11" x14ac:dyDescent="0.25">
      <c r="A141">
        <v>140</v>
      </c>
      <c r="B141" t="s">
        <v>190</v>
      </c>
      <c r="C141" t="s">
        <v>53</v>
      </c>
      <c r="D141">
        <v>29</v>
      </c>
      <c r="E141" t="e">
        <f t="shared" si="6"/>
        <v>#NAME?</v>
      </c>
      <c r="F141" t="e">
        <f t="shared" si="6"/>
        <v>#NAME?</v>
      </c>
      <c r="G141">
        <v>1.71</v>
      </c>
      <c r="H141">
        <v>2085</v>
      </c>
      <c r="I141">
        <v>0</v>
      </c>
      <c r="J141">
        <v>0</v>
      </c>
      <c r="K141" t="s">
        <v>292</v>
      </c>
    </row>
    <row r="142" spans="1:11" x14ac:dyDescent="0.25">
      <c r="A142">
        <v>141</v>
      </c>
      <c r="B142" t="s">
        <v>174</v>
      </c>
      <c r="C142" t="s">
        <v>75</v>
      </c>
      <c r="D142">
        <v>28</v>
      </c>
      <c r="E142" t="e">
        <f t="shared" ref="E142:F161" si="7">-Infinity</f>
        <v>#NAME?</v>
      </c>
      <c r="F142" t="e">
        <f t="shared" si="7"/>
        <v>#NAME?</v>
      </c>
      <c r="G142">
        <v>1.07</v>
      </c>
      <c r="H142">
        <v>2086</v>
      </c>
      <c r="I142">
        <v>0</v>
      </c>
      <c r="J142">
        <v>0</v>
      </c>
      <c r="K142" t="s">
        <v>292</v>
      </c>
    </row>
    <row r="143" spans="1:11" x14ac:dyDescent="0.25">
      <c r="A143">
        <v>142</v>
      </c>
      <c r="B143" t="s">
        <v>128</v>
      </c>
      <c r="C143" t="s">
        <v>37</v>
      </c>
      <c r="D143">
        <v>32</v>
      </c>
      <c r="E143" t="e">
        <f t="shared" si="7"/>
        <v>#NAME?</v>
      </c>
      <c r="F143" t="e">
        <f t="shared" si="7"/>
        <v>#NAME?</v>
      </c>
      <c r="G143">
        <v>1.1499999999999999</v>
      </c>
      <c r="H143">
        <v>2086</v>
      </c>
      <c r="I143">
        <v>0</v>
      </c>
      <c r="J143">
        <v>0</v>
      </c>
      <c r="K143" t="s">
        <v>292</v>
      </c>
    </row>
    <row r="144" spans="1:11" x14ac:dyDescent="0.25">
      <c r="A144">
        <v>143</v>
      </c>
      <c r="B144" t="s">
        <v>178</v>
      </c>
      <c r="C144" t="s">
        <v>37</v>
      </c>
      <c r="D144">
        <v>29</v>
      </c>
      <c r="E144" t="e">
        <f t="shared" si="7"/>
        <v>#NAME?</v>
      </c>
      <c r="F144" t="e">
        <f t="shared" si="7"/>
        <v>#NAME?</v>
      </c>
      <c r="G144">
        <v>0.75</v>
      </c>
      <c r="H144">
        <v>2085</v>
      </c>
      <c r="I144">
        <v>0</v>
      </c>
      <c r="J144">
        <v>0</v>
      </c>
      <c r="K144" t="s">
        <v>292</v>
      </c>
    </row>
    <row r="145" spans="1:11" x14ac:dyDescent="0.25">
      <c r="A145">
        <v>144</v>
      </c>
      <c r="B145" t="s">
        <v>187</v>
      </c>
      <c r="C145" t="s">
        <v>37</v>
      </c>
      <c r="D145">
        <v>20</v>
      </c>
      <c r="E145" t="e">
        <f t="shared" si="7"/>
        <v>#NAME?</v>
      </c>
      <c r="F145" t="e">
        <f t="shared" si="7"/>
        <v>#NAME?</v>
      </c>
      <c r="G145">
        <v>0.75</v>
      </c>
      <c r="H145">
        <v>2086</v>
      </c>
      <c r="I145">
        <v>0</v>
      </c>
      <c r="J145">
        <v>0</v>
      </c>
      <c r="K145" t="s">
        <v>292</v>
      </c>
    </row>
    <row r="146" spans="1:11" x14ac:dyDescent="0.25">
      <c r="A146">
        <v>145</v>
      </c>
      <c r="B146" t="s">
        <v>146</v>
      </c>
      <c r="C146" t="s">
        <v>41</v>
      </c>
      <c r="D146">
        <v>28</v>
      </c>
      <c r="E146" t="e">
        <f t="shared" si="7"/>
        <v>#NAME?</v>
      </c>
      <c r="F146" t="e">
        <f t="shared" si="7"/>
        <v>#NAME?</v>
      </c>
      <c r="G146">
        <v>0.98</v>
      </c>
      <c r="H146">
        <v>2085</v>
      </c>
      <c r="I146">
        <v>0</v>
      </c>
      <c r="J146">
        <v>0</v>
      </c>
      <c r="K146" t="s">
        <v>292</v>
      </c>
    </row>
    <row r="147" spans="1:11" x14ac:dyDescent="0.25">
      <c r="A147">
        <v>146</v>
      </c>
      <c r="B147" t="s">
        <v>151</v>
      </c>
      <c r="C147" t="s">
        <v>55</v>
      </c>
      <c r="D147">
        <v>30</v>
      </c>
      <c r="E147" t="e">
        <f t="shared" si="7"/>
        <v>#NAME?</v>
      </c>
      <c r="F147" t="e">
        <f t="shared" si="7"/>
        <v>#NAME?</v>
      </c>
      <c r="G147">
        <v>1.47</v>
      </c>
      <c r="H147">
        <v>2085</v>
      </c>
      <c r="I147">
        <v>0</v>
      </c>
      <c r="J147">
        <v>0</v>
      </c>
      <c r="K147" t="s">
        <v>292</v>
      </c>
    </row>
    <row r="148" spans="1:11" x14ac:dyDescent="0.25">
      <c r="A148">
        <v>147</v>
      </c>
      <c r="B148" t="s">
        <v>180</v>
      </c>
      <c r="C148" t="s">
        <v>43</v>
      </c>
      <c r="D148">
        <v>29</v>
      </c>
      <c r="E148" t="e">
        <f t="shared" si="7"/>
        <v>#NAME?</v>
      </c>
      <c r="F148" t="e">
        <f t="shared" si="7"/>
        <v>#NAME?</v>
      </c>
      <c r="G148">
        <v>1.41</v>
      </c>
      <c r="H148">
        <v>2087</v>
      </c>
      <c r="I148">
        <v>0</v>
      </c>
      <c r="J148">
        <v>0</v>
      </c>
      <c r="K148" t="s">
        <v>292</v>
      </c>
    </row>
    <row r="149" spans="1:11" x14ac:dyDescent="0.25">
      <c r="A149">
        <v>148</v>
      </c>
      <c r="B149" t="s">
        <v>183</v>
      </c>
      <c r="C149" t="s">
        <v>75</v>
      </c>
      <c r="D149">
        <v>19</v>
      </c>
      <c r="E149" t="e">
        <f t="shared" si="7"/>
        <v>#NAME?</v>
      </c>
      <c r="F149" t="e">
        <f t="shared" si="7"/>
        <v>#NAME?</v>
      </c>
      <c r="G149">
        <v>2.0499999999999998</v>
      </c>
      <c r="H149">
        <v>2087</v>
      </c>
      <c r="I149">
        <v>0</v>
      </c>
      <c r="J149">
        <v>0</v>
      </c>
      <c r="K149" t="s">
        <v>292</v>
      </c>
    </row>
    <row r="150" spans="1:11" x14ac:dyDescent="0.25">
      <c r="A150">
        <v>149</v>
      </c>
      <c r="B150" t="s">
        <v>189</v>
      </c>
      <c r="C150" t="s">
        <v>35</v>
      </c>
      <c r="D150">
        <v>26</v>
      </c>
      <c r="E150" t="e">
        <f t="shared" si="7"/>
        <v>#NAME?</v>
      </c>
      <c r="F150" t="e">
        <f t="shared" si="7"/>
        <v>#NAME?</v>
      </c>
      <c r="G150">
        <v>1.42</v>
      </c>
      <c r="H150">
        <v>2086</v>
      </c>
      <c r="I150">
        <v>0</v>
      </c>
      <c r="J150">
        <v>0</v>
      </c>
      <c r="K150" t="s">
        <v>292</v>
      </c>
    </row>
    <row r="151" spans="1:11" x14ac:dyDescent="0.25">
      <c r="A151">
        <v>150</v>
      </c>
      <c r="B151" t="s">
        <v>155</v>
      </c>
      <c r="C151" t="s">
        <v>53</v>
      </c>
      <c r="D151">
        <v>27</v>
      </c>
      <c r="E151" t="e">
        <f t="shared" si="7"/>
        <v>#NAME?</v>
      </c>
      <c r="F151" t="e">
        <f t="shared" si="7"/>
        <v>#NAME?</v>
      </c>
      <c r="G151">
        <v>1.94</v>
      </c>
      <c r="H151">
        <v>2086</v>
      </c>
      <c r="I151">
        <v>0</v>
      </c>
      <c r="J151">
        <v>0</v>
      </c>
      <c r="K151" t="s">
        <v>292</v>
      </c>
    </row>
    <row r="152" spans="1:11" x14ac:dyDescent="0.25">
      <c r="A152">
        <v>151</v>
      </c>
      <c r="B152" t="s">
        <v>195</v>
      </c>
      <c r="C152" t="s">
        <v>75</v>
      </c>
      <c r="D152">
        <v>21</v>
      </c>
      <c r="E152" t="e">
        <f t="shared" si="7"/>
        <v>#NAME?</v>
      </c>
      <c r="F152" t="e">
        <f t="shared" si="7"/>
        <v>#NAME?</v>
      </c>
      <c r="G152">
        <v>2.31</v>
      </c>
      <c r="H152">
        <v>2085</v>
      </c>
      <c r="I152">
        <v>0</v>
      </c>
      <c r="J152">
        <v>0</v>
      </c>
      <c r="K152" t="s">
        <v>292</v>
      </c>
    </row>
    <row r="153" spans="1:11" x14ac:dyDescent="0.25">
      <c r="A153">
        <v>152</v>
      </c>
      <c r="B153" t="s">
        <v>176</v>
      </c>
      <c r="C153" t="s">
        <v>35</v>
      </c>
      <c r="D153">
        <v>23</v>
      </c>
      <c r="E153" t="e">
        <f t="shared" si="7"/>
        <v>#NAME?</v>
      </c>
      <c r="F153" t="e">
        <f t="shared" si="7"/>
        <v>#NAME?</v>
      </c>
      <c r="G153">
        <v>5.16</v>
      </c>
      <c r="H153">
        <v>2087</v>
      </c>
      <c r="I153">
        <v>0</v>
      </c>
      <c r="J153">
        <v>0</v>
      </c>
      <c r="K153" t="s">
        <v>292</v>
      </c>
    </row>
    <row r="154" spans="1:11" x14ac:dyDescent="0.25">
      <c r="A154">
        <v>153</v>
      </c>
      <c r="B154" t="s">
        <v>153</v>
      </c>
      <c r="C154" t="s">
        <v>75</v>
      </c>
      <c r="D154">
        <v>19</v>
      </c>
      <c r="E154" t="e">
        <f t="shared" si="7"/>
        <v>#NAME?</v>
      </c>
      <c r="F154" t="e">
        <f t="shared" si="7"/>
        <v>#NAME?</v>
      </c>
      <c r="G154">
        <v>1.27</v>
      </c>
      <c r="H154">
        <v>2087</v>
      </c>
      <c r="I154">
        <v>0</v>
      </c>
      <c r="J154">
        <v>0</v>
      </c>
      <c r="K154" t="s">
        <v>292</v>
      </c>
    </row>
    <row r="155" spans="1:11" x14ac:dyDescent="0.25">
      <c r="A155">
        <v>154</v>
      </c>
      <c r="B155" t="s">
        <v>179</v>
      </c>
      <c r="C155" t="s">
        <v>75</v>
      </c>
      <c r="D155">
        <v>30</v>
      </c>
      <c r="E155" t="e">
        <f t="shared" si="7"/>
        <v>#NAME?</v>
      </c>
      <c r="F155" t="e">
        <f t="shared" si="7"/>
        <v>#NAME?</v>
      </c>
      <c r="G155">
        <v>0.87</v>
      </c>
      <c r="H155">
        <v>2087</v>
      </c>
      <c r="I155">
        <v>0</v>
      </c>
      <c r="J155">
        <v>0</v>
      </c>
      <c r="K155" t="s">
        <v>292</v>
      </c>
    </row>
    <row r="156" spans="1:11" x14ac:dyDescent="0.25">
      <c r="A156">
        <v>155</v>
      </c>
      <c r="B156" t="s">
        <v>210</v>
      </c>
      <c r="C156" t="s">
        <v>43</v>
      </c>
      <c r="D156">
        <v>29</v>
      </c>
      <c r="E156" t="e">
        <f t="shared" si="7"/>
        <v>#NAME?</v>
      </c>
      <c r="F156" t="e">
        <f t="shared" si="7"/>
        <v>#NAME?</v>
      </c>
      <c r="G156">
        <v>0.75</v>
      </c>
      <c r="H156">
        <v>2086</v>
      </c>
      <c r="I156">
        <v>0</v>
      </c>
      <c r="J156">
        <v>0</v>
      </c>
      <c r="K156" t="s">
        <v>292</v>
      </c>
    </row>
    <row r="157" spans="1:11" x14ac:dyDescent="0.25">
      <c r="A157">
        <v>156</v>
      </c>
      <c r="B157" t="s">
        <v>208</v>
      </c>
      <c r="C157" t="s">
        <v>55</v>
      </c>
      <c r="D157">
        <v>22</v>
      </c>
      <c r="E157" t="e">
        <f t="shared" si="7"/>
        <v>#NAME?</v>
      </c>
      <c r="F157" t="e">
        <f t="shared" si="7"/>
        <v>#NAME?</v>
      </c>
      <c r="G157">
        <v>1.53</v>
      </c>
      <c r="H157">
        <v>2085</v>
      </c>
      <c r="I157">
        <v>0</v>
      </c>
      <c r="J157">
        <v>0</v>
      </c>
      <c r="K157" t="s">
        <v>292</v>
      </c>
    </row>
    <row r="158" spans="1:11" x14ac:dyDescent="0.25">
      <c r="A158">
        <v>157</v>
      </c>
      <c r="B158" t="s">
        <v>164</v>
      </c>
      <c r="C158" t="s">
        <v>75</v>
      </c>
      <c r="D158">
        <v>31</v>
      </c>
      <c r="E158" t="e">
        <f t="shared" si="7"/>
        <v>#NAME?</v>
      </c>
      <c r="F158" t="e">
        <f t="shared" si="7"/>
        <v>#NAME?</v>
      </c>
      <c r="G158">
        <v>1.1200000000000001</v>
      </c>
      <c r="H158">
        <v>2086</v>
      </c>
      <c r="I158">
        <v>0</v>
      </c>
      <c r="J158">
        <v>0</v>
      </c>
      <c r="K158" t="s">
        <v>292</v>
      </c>
    </row>
    <row r="159" spans="1:11" x14ac:dyDescent="0.25">
      <c r="A159">
        <v>158</v>
      </c>
      <c r="B159" t="s">
        <v>181</v>
      </c>
      <c r="C159" t="s">
        <v>75</v>
      </c>
      <c r="D159">
        <v>29</v>
      </c>
      <c r="E159" t="e">
        <f t="shared" si="7"/>
        <v>#NAME?</v>
      </c>
      <c r="F159" t="e">
        <f t="shared" si="7"/>
        <v>#NAME?</v>
      </c>
      <c r="G159">
        <v>0.75</v>
      </c>
      <c r="H159">
        <v>2085</v>
      </c>
      <c r="I159">
        <v>0</v>
      </c>
      <c r="J159">
        <v>0</v>
      </c>
      <c r="K159" t="s">
        <v>292</v>
      </c>
    </row>
    <row r="160" spans="1:11" x14ac:dyDescent="0.25">
      <c r="A160">
        <v>159</v>
      </c>
      <c r="B160" t="s">
        <v>219</v>
      </c>
      <c r="C160" t="s">
        <v>43</v>
      </c>
      <c r="D160">
        <v>19</v>
      </c>
      <c r="E160" t="e">
        <f t="shared" si="7"/>
        <v>#NAME?</v>
      </c>
      <c r="F160" t="e">
        <f t="shared" si="7"/>
        <v>#NAME?</v>
      </c>
      <c r="G160">
        <v>3.88</v>
      </c>
      <c r="H160">
        <v>2087</v>
      </c>
      <c r="I160">
        <v>0</v>
      </c>
      <c r="J160">
        <v>0</v>
      </c>
      <c r="K160" t="s">
        <v>292</v>
      </c>
    </row>
    <row r="161" spans="1:11" x14ac:dyDescent="0.25">
      <c r="A161">
        <v>160</v>
      </c>
      <c r="B161" t="s">
        <v>214</v>
      </c>
      <c r="C161" t="s">
        <v>75</v>
      </c>
      <c r="D161">
        <v>26</v>
      </c>
      <c r="E161" t="e">
        <f t="shared" si="7"/>
        <v>#NAME?</v>
      </c>
      <c r="F161" t="e">
        <f t="shared" si="7"/>
        <v>#NAME?</v>
      </c>
      <c r="G161">
        <v>1.23</v>
      </c>
      <c r="H161">
        <v>2085</v>
      </c>
      <c r="I161">
        <v>0</v>
      </c>
      <c r="J161">
        <v>0</v>
      </c>
      <c r="K161" t="s">
        <v>292</v>
      </c>
    </row>
    <row r="162" spans="1:11" x14ac:dyDescent="0.25">
      <c r="A162">
        <v>161</v>
      </c>
      <c r="B162" t="s">
        <v>193</v>
      </c>
      <c r="C162" t="s">
        <v>43</v>
      </c>
      <c r="D162">
        <v>26</v>
      </c>
      <c r="E162" t="e">
        <f t="shared" ref="E162:F181" si="8">-Infinity</f>
        <v>#NAME?</v>
      </c>
      <c r="F162" t="e">
        <f t="shared" si="8"/>
        <v>#NAME?</v>
      </c>
      <c r="G162">
        <v>1.23</v>
      </c>
      <c r="H162">
        <v>2086</v>
      </c>
      <c r="I162">
        <v>0</v>
      </c>
      <c r="J162">
        <v>0</v>
      </c>
      <c r="K162" t="s">
        <v>292</v>
      </c>
    </row>
    <row r="163" spans="1:11" x14ac:dyDescent="0.25">
      <c r="A163">
        <v>162</v>
      </c>
      <c r="B163" t="s">
        <v>194</v>
      </c>
      <c r="C163" t="s">
        <v>43</v>
      </c>
      <c r="D163">
        <v>21</v>
      </c>
      <c r="E163" t="e">
        <f t="shared" si="8"/>
        <v>#NAME?</v>
      </c>
      <c r="F163" t="e">
        <f t="shared" si="8"/>
        <v>#NAME?</v>
      </c>
      <c r="G163">
        <v>1.01</v>
      </c>
      <c r="H163">
        <v>2086</v>
      </c>
      <c r="I163">
        <v>0</v>
      </c>
      <c r="J163">
        <v>0</v>
      </c>
      <c r="K163" t="s">
        <v>292</v>
      </c>
    </row>
    <row r="164" spans="1:11" x14ac:dyDescent="0.25">
      <c r="A164">
        <v>163</v>
      </c>
      <c r="B164" t="s">
        <v>205</v>
      </c>
      <c r="C164" t="s">
        <v>46</v>
      </c>
      <c r="D164">
        <v>30</v>
      </c>
      <c r="E164" t="e">
        <f t="shared" si="8"/>
        <v>#NAME?</v>
      </c>
      <c r="F164" t="e">
        <f t="shared" si="8"/>
        <v>#NAME?</v>
      </c>
      <c r="G164">
        <v>0.75</v>
      </c>
      <c r="H164">
        <v>2086</v>
      </c>
      <c r="I164">
        <v>0</v>
      </c>
      <c r="J164">
        <v>0</v>
      </c>
      <c r="K164" t="s">
        <v>292</v>
      </c>
    </row>
    <row r="165" spans="1:11" x14ac:dyDescent="0.25">
      <c r="A165">
        <v>164</v>
      </c>
      <c r="B165" t="s">
        <v>192</v>
      </c>
      <c r="C165" t="s">
        <v>55</v>
      </c>
      <c r="D165">
        <v>27</v>
      </c>
      <c r="E165" t="e">
        <f t="shared" si="8"/>
        <v>#NAME?</v>
      </c>
      <c r="F165" t="e">
        <f t="shared" si="8"/>
        <v>#NAME?</v>
      </c>
      <c r="G165">
        <v>1.47</v>
      </c>
      <c r="H165">
        <v>2085</v>
      </c>
      <c r="I165">
        <v>0</v>
      </c>
      <c r="J165">
        <v>0</v>
      </c>
      <c r="K165" t="s">
        <v>292</v>
      </c>
    </row>
    <row r="166" spans="1:11" x14ac:dyDescent="0.25">
      <c r="A166">
        <v>165</v>
      </c>
      <c r="B166" t="s">
        <v>207</v>
      </c>
      <c r="C166" t="s">
        <v>37</v>
      </c>
      <c r="D166">
        <v>24</v>
      </c>
      <c r="E166" t="e">
        <f t="shared" si="8"/>
        <v>#NAME?</v>
      </c>
      <c r="F166" t="e">
        <f t="shared" si="8"/>
        <v>#NAME?</v>
      </c>
      <c r="G166">
        <v>1.53</v>
      </c>
      <c r="H166">
        <v>2086</v>
      </c>
      <c r="I166">
        <v>0</v>
      </c>
      <c r="J166">
        <v>0</v>
      </c>
      <c r="K166" t="s">
        <v>292</v>
      </c>
    </row>
    <row r="167" spans="1:11" x14ac:dyDescent="0.25">
      <c r="A167">
        <v>166</v>
      </c>
      <c r="B167" t="s">
        <v>199</v>
      </c>
      <c r="C167" t="s">
        <v>53</v>
      </c>
      <c r="D167">
        <v>24</v>
      </c>
      <c r="E167" t="e">
        <f t="shared" si="8"/>
        <v>#NAME?</v>
      </c>
      <c r="F167" t="e">
        <f t="shared" si="8"/>
        <v>#NAME?</v>
      </c>
      <c r="G167">
        <v>2.83</v>
      </c>
      <c r="H167">
        <v>2085</v>
      </c>
      <c r="I167">
        <v>0</v>
      </c>
      <c r="J167">
        <v>0</v>
      </c>
      <c r="K167" t="s">
        <v>292</v>
      </c>
    </row>
    <row r="168" spans="1:11" x14ac:dyDescent="0.25">
      <c r="A168">
        <v>167</v>
      </c>
      <c r="B168" t="s">
        <v>216</v>
      </c>
      <c r="C168" t="s">
        <v>43</v>
      </c>
      <c r="D168">
        <v>30</v>
      </c>
      <c r="E168" t="e">
        <f t="shared" si="8"/>
        <v>#NAME?</v>
      </c>
      <c r="F168" t="e">
        <f t="shared" si="8"/>
        <v>#NAME?</v>
      </c>
      <c r="G168">
        <v>0.86</v>
      </c>
      <c r="H168">
        <v>2086</v>
      </c>
      <c r="I168">
        <v>0</v>
      </c>
      <c r="J168">
        <v>0</v>
      </c>
      <c r="K168" t="s">
        <v>292</v>
      </c>
    </row>
    <row r="169" spans="1:11" x14ac:dyDescent="0.25">
      <c r="A169">
        <v>168</v>
      </c>
      <c r="B169" t="s">
        <v>204</v>
      </c>
      <c r="C169" t="s">
        <v>41</v>
      </c>
      <c r="D169">
        <v>23</v>
      </c>
      <c r="E169" t="e">
        <f t="shared" si="8"/>
        <v>#NAME?</v>
      </c>
      <c r="F169" t="e">
        <f t="shared" si="8"/>
        <v>#NAME?</v>
      </c>
      <c r="G169">
        <v>0.75</v>
      </c>
      <c r="H169">
        <v>2086</v>
      </c>
      <c r="I169">
        <v>0</v>
      </c>
      <c r="J169">
        <v>0</v>
      </c>
      <c r="K169" t="s">
        <v>292</v>
      </c>
    </row>
    <row r="170" spans="1:11" x14ac:dyDescent="0.25">
      <c r="A170">
        <v>169</v>
      </c>
      <c r="B170" t="s">
        <v>224</v>
      </c>
      <c r="C170" t="s">
        <v>53</v>
      </c>
      <c r="D170">
        <v>21</v>
      </c>
      <c r="E170" t="e">
        <f t="shared" si="8"/>
        <v>#NAME?</v>
      </c>
      <c r="F170" t="e">
        <f t="shared" si="8"/>
        <v>#NAME?</v>
      </c>
      <c r="G170">
        <v>3.09</v>
      </c>
      <c r="H170">
        <v>2087</v>
      </c>
      <c r="I170">
        <v>0</v>
      </c>
      <c r="J170">
        <v>0</v>
      </c>
      <c r="K170" t="s">
        <v>292</v>
      </c>
    </row>
    <row r="171" spans="1:11" x14ac:dyDescent="0.25">
      <c r="A171">
        <v>170</v>
      </c>
      <c r="B171" t="s">
        <v>212</v>
      </c>
      <c r="C171" t="s">
        <v>37</v>
      </c>
      <c r="D171">
        <v>22</v>
      </c>
      <c r="E171" t="e">
        <f t="shared" si="8"/>
        <v>#NAME?</v>
      </c>
      <c r="F171" t="e">
        <f t="shared" si="8"/>
        <v>#NAME?</v>
      </c>
      <c r="G171">
        <v>1.67</v>
      </c>
      <c r="H171">
        <v>2086</v>
      </c>
      <c r="I171">
        <v>0</v>
      </c>
      <c r="J171">
        <v>0</v>
      </c>
      <c r="K171" t="s">
        <v>292</v>
      </c>
    </row>
    <row r="172" spans="1:11" x14ac:dyDescent="0.25">
      <c r="A172">
        <v>171</v>
      </c>
      <c r="B172" t="s">
        <v>209</v>
      </c>
      <c r="C172" t="s">
        <v>55</v>
      </c>
      <c r="D172">
        <v>29</v>
      </c>
      <c r="E172" t="e">
        <f t="shared" si="8"/>
        <v>#NAME?</v>
      </c>
      <c r="F172" t="e">
        <f t="shared" si="8"/>
        <v>#NAME?</v>
      </c>
      <c r="G172">
        <v>0.75</v>
      </c>
      <c r="H172">
        <v>2086</v>
      </c>
      <c r="I172">
        <v>0</v>
      </c>
      <c r="J172">
        <v>0</v>
      </c>
      <c r="K172" t="s">
        <v>292</v>
      </c>
    </row>
    <row r="173" spans="1:11" x14ac:dyDescent="0.25">
      <c r="A173">
        <v>172</v>
      </c>
      <c r="B173" t="s">
        <v>228</v>
      </c>
      <c r="C173" t="s">
        <v>55</v>
      </c>
      <c r="D173">
        <v>24</v>
      </c>
      <c r="E173" t="e">
        <f t="shared" si="8"/>
        <v>#NAME?</v>
      </c>
      <c r="F173" t="e">
        <f t="shared" si="8"/>
        <v>#NAME?</v>
      </c>
      <c r="G173">
        <v>3.18</v>
      </c>
      <c r="H173">
        <v>2085</v>
      </c>
      <c r="I173">
        <v>0</v>
      </c>
      <c r="J173">
        <v>0</v>
      </c>
      <c r="K173" t="s">
        <v>292</v>
      </c>
    </row>
    <row r="174" spans="1:11" x14ac:dyDescent="0.25">
      <c r="A174">
        <v>173</v>
      </c>
      <c r="B174" t="s">
        <v>211</v>
      </c>
      <c r="C174" t="s">
        <v>55</v>
      </c>
      <c r="D174">
        <v>23</v>
      </c>
      <c r="E174" t="e">
        <f t="shared" si="8"/>
        <v>#NAME?</v>
      </c>
      <c r="F174" t="e">
        <f t="shared" si="8"/>
        <v>#NAME?</v>
      </c>
      <c r="G174">
        <v>3.61</v>
      </c>
      <c r="H174">
        <v>2086</v>
      </c>
      <c r="I174">
        <v>0</v>
      </c>
      <c r="J174">
        <v>0</v>
      </c>
      <c r="K174" t="s">
        <v>292</v>
      </c>
    </row>
    <row r="175" spans="1:11" x14ac:dyDescent="0.25">
      <c r="A175">
        <v>174</v>
      </c>
      <c r="B175" t="s">
        <v>223</v>
      </c>
      <c r="C175" t="s">
        <v>37</v>
      </c>
      <c r="D175">
        <v>22</v>
      </c>
      <c r="E175" t="e">
        <f t="shared" si="8"/>
        <v>#NAME?</v>
      </c>
      <c r="F175" t="e">
        <f t="shared" si="8"/>
        <v>#NAME?</v>
      </c>
      <c r="G175">
        <v>1.0900000000000001</v>
      </c>
      <c r="H175">
        <v>2086</v>
      </c>
      <c r="I175">
        <v>0</v>
      </c>
      <c r="J175">
        <v>0</v>
      </c>
      <c r="K175" t="s">
        <v>292</v>
      </c>
    </row>
    <row r="176" spans="1:11" x14ac:dyDescent="0.25">
      <c r="A176">
        <v>175</v>
      </c>
      <c r="B176" t="s">
        <v>218</v>
      </c>
      <c r="C176" t="s">
        <v>43</v>
      </c>
      <c r="D176">
        <v>30</v>
      </c>
      <c r="E176" t="e">
        <f t="shared" si="8"/>
        <v>#NAME?</v>
      </c>
      <c r="F176" t="e">
        <f t="shared" si="8"/>
        <v>#NAME?</v>
      </c>
      <c r="G176">
        <v>0.96</v>
      </c>
      <c r="H176">
        <v>2086</v>
      </c>
      <c r="I176">
        <v>0</v>
      </c>
      <c r="J176">
        <v>0</v>
      </c>
      <c r="K176" t="s">
        <v>292</v>
      </c>
    </row>
    <row r="177" spans="1:11" x14ac:dyDescent="0.25">
      <c r="A177">
        <v>176</v>
      </c>
      <c r="B177" t="s">
        <v>236</v>
      </c>
      <c r="C177" t="s">
        <v>35</v>
      </c>
      <c r="D177">
        <v>21</v>
      </c>
      <c r="E177" t="e">
        <f t="shared" si="8"/>
        <v>#NAME?</v>
      </c>
      <c r="F177" t="e">
        <f t="shared" si="8"/>
        <v>#NAME?</v>
      </c>
      <c r="G177">
        <v>1.79</v>
      </c>
      <c r="H177">
        <v>2085</v>
      </c>
      <c r="I177">
        <v>0</v>
      </c>
      <c r="J177">
        <v>0</v>
      </c>
      <c r="K177" t="s">
        <v>292</v>
      </c>
    </row>
    <row r="178" spans="1:11" x14ac:dyDescent="0.25">
      <c r="A178">
        <v>177</v>
      </c>
      <c r="B178" t="s">
        <v>221</v>
      </c>
      <c r="C178" t="s">
        <v>43</v>
      </c>
      <c r="D178">
        <v>28</v>
      </c>
      <c r="E178" t="e">
        <f t="shared" si="8"/>
        <v>#NAME?</v>
      </c>
      <c r="F178" t="e">
        <f t="shared" si="8"/>
        <v>#NAME?</v>
      </c>
      <c r="G178">
        <v>0.97</v>
      </c>
      <c r="H178">
        <v>2086</v>
      </c>
      <c r="I178">
        <v>0</v>
      </c>
      <c r="J178">
        <v>0</v>
      </c>
      <c r="K178" t="s">
        <v>292</v>
      </c>
    </row>
    <row r="179" spans="1:11" x14ac:dyDescent="0.25">
      <c r="A179">
        <v>178</v>
      </c>
      <c r="B179" t="s">
        <v>233</v>
      </c>
      <c r="C179" t="s">
        <v>53</v>
      </c>
      <c r="D179">
        <v>20</v>
      </c>
      <c r="E179" t="e">
        <f t="shared" si="8"/>
        <v>#NAME?</v>
      </c>
      <c r="F179" t="e">
        <f t="shared" si="8"/>
        <v>#NAME?</v>
      </c>
      <c r="G179">
        <v>0.75</v>
      </c>
      <c r="H179">
        <v>2085</v>
      </c>
      <c r="I179">
        <v>0</v>
      </c>
      <c r="J179">
        <v>0</v>
      </c>
      <c r="K179" t="s">
        <v>292</v>
      </c>
    </row>
    <row r="180" spans="1:11" x14ac:dyDescent="0.25">
      <c r="A180">
        <v>179</v>
      </c>
      <c r="B180" t="s">
        <v>217</v>
      </c>
      <c r="C180" t="s">
        <v>46</v>
      </c>
      <c r="D180">
        <v>22</v>
      </c>
      <c r="E180" t="e">
        <f t="shared" si="8"/>
        <v>#NAME?</v>
      </c>
      <c r="F180" t="e">
        <f t="shared" si="8"/>
        <v>#NAME?</v>
      </c>
      <c r="G180">
        <v>0.75</v>
      </c>
      <c r="H180">
        <v>2085</v>
      </c>
      <c r="I180">
        <v>0</v>
      </c>
      <c r="J180">
        <v>0</v>
      </c>
      <c r="K180" t="s">
        <v>292</v>
      </c>
    </row>
    <row r="181" spans="1:11" x14ac:dyDescent="0.25">
      <c r="A181">
        <v>180</v>
      </c>
      <c r="B181" t="s">
        <v>234</v>
      </c>
      <c r="C181" t="s">
        <v>53</v>
      </c>
      <c r="D181">
        <v>24</v>
      </c>
      <c r="E181" t="e">
        <f t="shared" si="8"/>
        <v>#NAME?</v>
      </c>
      <c r="F181" t="e">
        <f t="shared" si="8"/>
        <v>#NAME?</v>
      </c>
      <c r="G181">
        <v>1.32</v>
      </c>
      <c r="H181">
        <v>2085</v>
      </c>
      <c r="I181">
        <v>0</v>
      </c>
      <c r="J181">
        <v>0</v>
      </c>
      <c r="K181" t="s">
        <v>292</v>
      </c>
    </row>
    <row r="182" spans="1:11" x14ac:dyDescent="0.25">
      <c r="A182">
        <v>181</v>
      </c>
      <c r="B182" t="s">
        <v>227</v>
      </c>
      <c r="C182" t="s">
        <v>53</v>
      </c>
      <c r="D182">
        <v>24</v>
      </c>
      <c r="E182" t="e">
        <f t="shared" ref="E182:F201" si="9">-Infinity</f>
        <v>#NAME?</v>
      </c>
      <c r="F182" t="e">
        <f t="shared" si="9"/>
        <v>#NAME?</v>
      </c>
      <c r="G182">
        <v>0.96</v>
      </c>
      <c r="H182">
        <v>2086</v>
      </c>
      <c r="I182">
        <v>0</v>
      </c>
      <c r="J182">
        <v>0</v>
      </c>
      <c r="K182" t="s">
        <v>292</v>
      </c>
    </row>
    <row r="183" spans="1:11" x14ac:dyDescent="0.25">
      <c r="A183">
        <v>182</v>
      </c>
      <c r="B183" t="s">
        <v>206</v>
      </c>
      <c r="C183" t="s">
        <v>46</v>
      </c>
      <c r="D183">
        <v>27</v>
      </c>
      <c r="E183" t="e">
        <f t="shared" si="9"/>
        <v>#NAME?</v>
      </c>
      <c r="F183" t="e">
        <f t="shared" si="9"/>
        <v>#NAME?</v>
      </c>
      <c r="G183">
        <v>1.1599999999999999</v>
      </c>
      <c r="H183">
        <v>2086</v>
      </c>
      <c r="I183">
        <v>0</v>
      </c>
      <c r="J183">
        <v>0</v>
      </c>
      <c r="K183" t="s">
        <v>292</v>
      </c>
    </row>
    <row r="184" spans="1:11" x14ac:dyDescent="0.25">
      <c r="A184">
        <v>183</v>
      </c>
      <c r="B184" t="s">
        <v>239</v>
      </c>
      <c r="C184" t="s">
        <v>37</v>
      </c>
      <c r="D184">
        <v>21</v>
      </c>
      <c r="E184" t="e">
        <f t="shared" si="9"/>
        <v>#NAME?</v>
      </c>
      <c r="F184" t="e">
        <f t="shared" si="9"/>
        <v>#NAME?</v>
      </c>
      <c r="G184">
        <v>1.19</v>
      </c>
      <c r="H184">
        <v>2085</v>
      </c>
      <c r="I184">
        <v>0</v>
      </c>
      <c r="J184">
        <v>0</v>
      </c>
      <c r="K184" t="s">
        <v>292</v>
      </c>
    </row>
    <row r="185" spans="1:11" x14ac:dyDescent="0.25">
      <c r="A185">
        <v>184</v>
      </c>
      <c r="B185" t="s">
        <v>231</v>
      </c>
      <c r="C185" t="s">
        <v>43</v>
      </c>
      <c r="D185">
        <v>27</v>
      </c>
      <c r="E185" t="e">
        <f t="shared" si="9"/>
        <v>#NAME?</v>
      </c>
      <c r="F185" t="e">
        <f t="shared" si="9"/>
        <v>#NAME?</v>
      </c>
      <c r="G185">
        <v>1.71</v>
      </c>
      <c r="H185">
        <v>2087</v>
      </c>
      <c r="I185">
        <v>0</v>
      </c>
      <c r="J185">
        <v>0</v>
      </c>
      <c r="K185" t="s">
        <v>292</v>
      </c>
    </row>
    <row r="186" spans="1:11" x14ac:dyDescent="0.25">
      <c r="A186">
        <v>185</v>
      </c>
      <c r="B186" t="s">
        <v>232</v>
      </c>
      <c r="C186" t="s">
        <v>46</v>
      </c>
      <c r="D186">
        <v>23</v>
      </c>
      <c r="E186" t="e">
        <f t="shared" si="9"/>
        <v>#NAME?</v>
      </c>
      <c r="F186" t="e">
        <f t="shared" si="9"/>
        <v>#NAME?</v>
      </c>
      <c r="G186">
        <v>4.66</v>
      </c>
      <c r="H186">
        <v>2085</v>
      </c>
      <c r="I186">
        <v>0</v>
      </c>
      <c r="J186">
        <v>0</v>
      </c>
      <c r="K186" t="s">
        <v>292</v>
      </c>
    </row>
    <row r="187" spans="1:11" x14ac:dyDescent="0.25">
      <c r="A187">
        <v>186</v>
      </c>
      <c r="B187" t="s">
        <v>235</v>
      </c>
      <c r="C187" t="s">
        <v>55</v>
      </c>
      <c r="D187">
        <v>21</v>
      </c>
      <c r="E187" t="e">
        <f t="shared" si="9"/>
        <v>#NAME?</v>
      </c>
      <c r="F187" t="e">
        <f t="shared" si="9"/>
        <v>#NAME?</v>
      </c>
      <c r="G187">
        <v>2.31</v>
      </c>
      <c r="H187">
        <v>2087</v>
      </c>
      <c r="I187">
        <v>0</v>
      </c>
      <c r="J187">
        <v>0</v>
      </c>
      <c r="K187" t="s">
        <v>292</v>
      </c>
    </row>
    <row r="188" spans="1:11" x14ac:dyDescent="0.25">
      <c r="A188">
        <v>187</v>
      </c>
      <c r="B188" t="s">
        <v>213</v>
      </c>
      <c r="C188" t="s">
        <v>41</v>
      </c>
      <c r="D188">
        <v>24</v>
      </c>
      <c r="E188" t="e">
        <f t="shared" si="9"/>
        <v>#NAME?</v>
      </c>
      <c r="F188" t="e">
        <f t="shared" si="9"/>
        <v>#NAME?</v>
      </c>
      <c r="G188">
        <v>0.75</v>
      </c>
      <c r="H188">
        <v>2085</v>
      </c>
      <c r="I188">
        <v>0</v>
      </c>
      <c r="J188">
        <v>0</v>
      </c>
      <c r="K188" t="s">
        <v>292</v>
      </c>
    </row>
    <row r="189" spans="1:11" x14ac:dyDescent="0.25">
      <c r="A189">
        <v>188</v>
      </c>
      <c r="B189" t="s">
        <v>225</v>
      </c>
      <c r="C189" t="s">
        <v>60</v>
      </c>
      <c r="D189">
        <v>29</v>
      </c>
      <c r="E189" t="e">
        <f t="shared" si="9"/>
        <v>#NAME?</v>
      </c>
      <c r="F189" t="e">
        <f t="shared" si="9"/>
        <v>#NAME?</v>
      </c>
      <c r="G189">
        <v>0.75</v>
      </c>
      <c r="H189">
        <v>2086</v>
      </c>
      <c r="I189">
        <v>0</v>
      </c>
      <c r="J189">
        <v>0</v>
      </c>
      <c r="K189" t="s">
        <v>292</v>
      </c>
    </row>
    <row r="190" spans="1:11" x14ac:dyDescent="0.25">
      <c r="A190">
        <v>189</v>
      </c>
      <c r="B190" t="s">
        <v>203</v>
      </c>
      <c r="C190" t="s">
        <v>43</v>
      </c>
      <c r="D190">
        <v>29</v>
      </c>
      <c r="E190" t="e">
        <f t="shared" si="9"/>
        <v>#NAME?</v>
      </c>
      <c r="F190" t="e">
        <f t="shared" si="9"/>
        <v>#NAME?</v>
      </c>
      <c r="G190">
        <v>0.75</v>
      </c>
      <c r="H190">
        <v>2085</v>
      </c>
      <c r="I190">
        <v>0</v>
      </c>
      <c r="J190">
        <v>0</v>
      </c>
      <c r="K190" t="s">
        <v>292</v>
      </c>
    </row>
    <row r="191" spans="1:11" x14ac:dyDescent="0.25">
      <c r="A191">
        <v>190</v>
      </c>
      <c r="B191" t="s">
        <v>229</v>
      </c>
      <c r="C191" t="s">
        <v>46</v>
      </c>
      <c r="D191">
        <v>21</v>
      </c>
      <c r="E191" t="e">
        <f t="shared" si="9"/>
        <v>#NAME?</v>
      </c>
      <c r="F191" t="e">
        <f t="shared" si="9"/>
        <v>#NAME?</v>
      </c>
      <c r="G191">
        <v>1.78</v>
      </c>
      <c r="H191">
        <v>2085</v>
      </c>
      <c r="I191">
        <v>0</v>
      </c>
      <c r="J191">
        <v>0</v>
      </c>
      <c r="K191" t="s">
        <v>292</v>
      </c>
    </row>
    <row r="192" spans="1:11" x14ac:dyDescent="0.25">
      <c r="A192">
        <v>191</v>
      </c>
      <c r="B192" t="s">
        <v>244</v>
      </c>
      <c r="C192" t="s">
        <v>46</v>
      </c>
      <c r="D192">
        <v>24</v>
      </c>
      <c r="E192" t="e">
        <f t="shared" si="9"/>
        <v>#NAME?</v>
      </c>
      <c r="F192" t="e">
        <f t="shared" si="9"/>
        <v>#NAME?</v>
      </c>
      <c r="G192">
        <v>0.75</v>
      </c>
      <c r="H192">
        <v>2085</v>
      </c>
      <c r="I192">
        <v>0</v>
      </c>
      <c r="J192">
        <v>0</v>
      </c>
      <c r="K192" t="s">
        <v>292</v>
      </c>
    </row>
    <row r="193" spans="1:11" x14ac:dyDescent="0.25">
      <c r="A193">
        <v>192</v>
      </c>
      <c r="B193" t="s">
        <v>245</v>
      </c>
      <c r="C193" t="s">
        <v>55</v>
      </c>
      <c r="D193">
        <v>26</v>
      </c>
      <c r="E193" t="e">
        <f t="shared" si="9"/>
        <v>#NAME?</v>
      </c>
      <c r="F193" t="e">
        <f t="shared" si="9"/>
        <v>#NAME?</v>
      </c>
      <c r="G193">
        <v>0.75</v>
      </c>
      <c r="H193">
        <v>2086</v>
      </c>
      <c r="I193">
        <v>0</v>
      </c>
      <c r="J193">
        <v>0</v>
      </c>
      <c r="K193" t="s">
        <v>292</v>
      </c>
    </row>
    <row r="194" spans="1:11" x14ac:dyDescent="0.25">
      <c r="A194">
        <v>193</v>
      </c>
      <c r="B194" t="s">
        <v>215</v>
      </c>
      <c r="C194" t="s">
        <v>60</v>
      </c>
      <c r="D194">
        <v>23</v>
      </c>
      <c r="E194" t="e">
        <f t="shared" si="9"/>
        <v>#NAME?</v>
      </c>
      <c r="F194" t="e">
        <f t="shared" si="9"/>
        <v>#NAME?</v>
      </c>
      <c r="G194">
        <v>0.78</v>
      </c>
      <c r="H194">
        <v>2086</v>
      </c>
      <c r="I194">
        <v>0</v>
      </c>
      <c r="J194">
        <v>0</v>
      </c>
      <c r="K194" t="s">
        <v>292</v>
      </c>
    </row>
    <row r="195" spans="1:11" x14ac:dyDescent="0.25">
      <c r="A195">
        <v>194</v>
      </c>
      <c r="B195" t="s">
        <v>248</v>
      </c>
      <c r="C195" t="s">
        <v>41</v>
      </c>
      <c r="D195">
        <v>20</v>
      </c>
      <c r="E195" t="e">
        <f t="shared" si="9"/>
        <v>#NAME?</v>
      </c>
      <c r="F195" t="e">
        <f t="shared" si="9"/>
        <v>#NAME?</v>
      </c>
      <c r="G195">
        <v>0.83</v>
      </c>
      <c r="H195">
        <v>2085</v>
      </c>
      <c r="I195">
        <v>0</v>
      </c>
      <c r="J195">
        <v>0</v>
      </c>
      <c r="K195" t="s">
        <v>292</v>
      </c>
    </row>
    <row r="196" spans="1:11" x14ac:dyDescent="0.25">
      <c r="A196">
        <v>195</v>
      </c>
      <c r="B196" t="s">
        <v>230</v>
      </c>
      <c r="C196" t="s">
        <v>53</v>
      </c>
      <c r="D196">
        <v>25</v>
      </c>
      <c r="E196" t="e">
        <f t="shared" si="9"/>
        <v>#NAME?</v>
      </c>
      <c r="F196" t="e">
        <f t="shared" si="9"/>
        <v>#NAME?</v>
      </c>
      <c r="G196">
        <v>3.87</v>
      </c>
      <c r="H196">
        <v>2085</v>
      </c>
      <c r="I196">
        <v>0</v>
      </c>
      <c r="J196">
        <v>0</v>
      </c>
      <c r="K196" t="s">
        <v>292</v>
      </c>
    </row>
    <row r="197" spans="1:11" x14ac:dyDescent="0.25">
      <c r="A197">
        <v>196</v>
      </c>
      <c r="B197" t="s">
        <v>222</v>
      </c>
      <c r="C197" t="s">
        <v>46</v>
      </c>
      <c r="D197">
        <v>30</v>
      </c>
      <c r="E197" t="e">
        <f t="shared" si="9"/>
        <v>#NAME?</v>
      </c>
      <c r="F197" t="e">
        <f t="shared" si="9"/>
        <v>#NAME?</v>
      </c>
      <c r="G197">
        <v>1</v>
      </c>
      <c r="H197">
        <v>2086</v>
      </c>
      <c r="I197">
        <v>0</v>
      </c>
      <c r="J197">
        <v>0</v>
      </c>
      <c r="K197" t="s">
        <v>292</v>
      </c>
    </row>
    <row r="198" spans="1:11" x14ac:dyDescent="0.25">
      <c r="A198">
        <v>197</v>
      </c>
      <c r="B198" t="s">
        <v>220</v>
      </c>
      <c r="C198" t="s">
        <v>55</v>
      </c>
      <c r="D198">
        <v>31</v>
      </c>
      <c r="E198" t="e">
        <f t="shared" si="9"/>
        <v>#NAME?</v>
      </c>
      <c r="F198" t="e">
        <f t="shared" si="9"/>
        <v>#NAME?</v>
      </c>
      <c r="G198">
        <v>0.75</v>
      </c>
      <c r="H198">
        <v>2086</v>
      </c>
      <c r="I198">
        <v>0</v>
      </c>
      <c r="J198">
        <v>0</v>
      </c>
      <c r="K198" t="s">
        <v>292</v>
      </c>
    </row>
    <row r="199" spans="1:11" x14ac:dyDescent="0.25">
      <c r="A199">
        <v>198</v>
      </c>
      <c r="B199" t="s">
        <v>240</v>
      </c>
      <c r="C199" t="s">
        <v>35</v>
      </c>
      <c r="D199">
        <v>23</v>
      </c>
      <c r="E199" t="e">
        <f t="shared" si="9"/>
        <v>#NAME?</v>
      </c>
      <c r="F199" t="e">
        <f t="shared" si="9"/>
        <v>#NAME?</v>
      </c>
      <c r="G199">
        <v>0.75</v>
      </c>
      <c r="H199">
        <v>2086</v>
      </c>
      <c r="I199">
        <v>0</v>
      </c>
      <c r="J199">
        <v>0</v>
      </c>
      <c r="K199" t="s">
        <v>292</v>
      </c>
    </row>
    <row r="200" spans="1:11" x14ac:dyDescent="0.25">
      <c r="A200">
        <v>199</v>
      </c>
      <c r="B200" t="s">
        <v>226</v>
      </c>
      <c r="C200" t="s">
        <v>55</v>
      </c>
      <c r="D200">
        <v>24</v>
      </c>
      <c r="E200" t="e">
        <f t="shared" si="9"/>
        <v>#NAME?</v>
      </c>
      <c r="F200" t="e">
        <f t="shared" si="9"/>
        <v>#NAME?</v>
      </c>
      <c r="G200">
        <v>0.75</v>
      </c>
      <c r="H200">
        <v>2086</v>
      </c>
      <c r="I200">
        <v>0</v>
      </c>
      <c r="J200">
        <v>0</v>
      </c>
      <c r="K200" t="s">
        <v>292</v>
      </c>
    </row>
    <row r="201" spans="1:11" x14ac:dyDescent="0.25">
      <c r="A201">
        <v>200</v>
      </c>
      <c r="B201" t="s">
        <v>252</v>
      </c>
      <c r="C201" t="s">
        <v>53</v>
      </c>
      <c r="D201">
        <v>22</v>
      </c>
      <c r="E201" t="e">
        <f t="shared" si="9"/>
        <v>#NAME?</v>
      </c>
      <c r="F201" t="e">
        <f t="shared" si="9"/>
        <v>#NAME?</v>
      </c>
      <c r="G201">
        <v>1.45</v>
      </c>
      <c r="H201">
        <v>2085</v>
      </c>
      <c r="I201">
        <v>0</v>
      </c>
      <c r="J201">
        <v>0</v>
      </c>
      <c r="K201" t="s">
        <v>292</v>
      </c>
    </row>
    <row r="202" spans="1:11" x14ac:dyDescent="0.25">
      <c r="A202">
        <v>201</v>
      </c>
      <c r="B202" t="s">
        <v>237</v>
      </c>
      <c r="C202" t="s">
        <v>37</v>
      </c>
      <c r="D202">
        <v>22</v>
      </c>
      <c r="E202" t="e">
        <f t="shared" ref="E202:F221" si="10">-Infinity</f>
        <v>#NAME?</v>
      </c>
      <c r="F202" t="e">
        <f t="shared" si="10"/>
        <v>#NAME?</v>
      </c>
      <c r="G202">
        <v>2.83</v>
      </c>
      <c r="H202">
        <v>2087</v>
      </c>
      <c r="I202">
        <v>0</v>
      </c>
      <c r="J202">
        <v>0</v>
      </c>
      <c r="K202" t="s">
        <v>292</v>
      </c>
    </row>
    <row r="203" spans="1:11" x14ac:dyDescent="0.25">
      <c r="A203">
        <v>202</v>
      </c>
      <c r="B203" t="s">
        <v>242</v>
      </c>
      <c r="C203" t="s">
        <v>43</v>
      </c>
      <c r="D203">
        <v>23</v>
      </c>
      <c r="E203" t="e">
        <f t="shared" si="10"/>
        <v>#NAME?</v>
      </c>
      <c r="F203" t="e">
        <f t="shared" si="10"/>
        <v>#NAME?</v>
      </c>
      <c r="G203">
        <v>1.38</v>
      </c>
      <c r="H203">
        <v>2086</v>
      </c>
      <c r="I203">
        <v>0</v>
      </c>
      <c r="J203">
        <v>0</v>
      </c>
      <c r="K203" t="s">
        <v>292</v>
      </c>
    </row>
    <row r="204" spans="1:11" x14ac:dyDescent="0.25">
      <c r="A204">
        <v>203</v>
      </c>
      <c r="B204" t="s">
        <v>255</v>
      </c>
      <c r="C204" t="s">
        <v>75</v>
      </c>
      <c r="D204">
        <v>21</v>
      </c>
      <c r="E204" t="e">
        <f t="shared" si="10"/>
        <v>#NAME?</v>
      </c>
      <c r="F204" t="e">
        <f t="shared" si="10"/>
        <v>#NAME?</v>
      </c>
      <c r="G204">
        <v>2.0499999999999998</v>
      </c>
      <c r="H204">
        <v>2085</v>
      </c>
      <c r="I204">
        <v>0</v>
      </c>
      <c r="J204">
        <v>0</v>
      </c>
      <c r="K204" t="s">
        <v>292</v>
      </c>
    </row>
    <row r="205" spans="1:11" x14ac:dyDescent="0.25">
      <c r="A205">
        <v>204</v>
      </c>
      <c r="B205" t="s">
        <v>241</v>
      </c>
      <c r="C205" t="s">
        <v>37</v>
      </c>
      <c r="D205">
        <v>23</v>
      </c>
      <c r="E205" t="e">
        <f t="shared" si="10"/>
        <v>#NAME?</v>
      </c>
      <c r="F205" t="e">
        <f t="shared" si="10"/>
        <v>#NAME?</v>
      </c>
      <c r="G205">
        <v>0.75</v>
      </c>
      <c r="H205">
        <v>2086</v>
      </c>
      <c r="I205">
        <v>0</v>
      </c>
      <c r="J205">
        <v>0</v>
      </c>
      <c r="K205" t="s">
        <v>292</v>
      </c>
    </row>
    <row r="206" spans="1:11" x14ac:dyDescent="0.25">
      <c r="A206">
        <v>205</v>
      </c>
      <c r="B206" t="s">
        <v>253</v>
      </c>
      <c r="C206" t="s">
        <v>35</v>
      </c>
      <c r="D206">
        <v>23</v>
      </c>
      <c r="E206" t="e">
        <f t="shared" si="10"/>
        <v>#NAME?</v>
      </c>
      <c r="F206" t="e">
        <f t="shared" si="10"/>
        <v>#NAME?</v>
      </c>
      <c r="G206">
        <v>0.75</v>
      </c>
      <c r="H206">
        <v>2085</v>
      </c>
      <c r="I206">
        <v>0</v>
      </c>
      <c r="J206">
        <v>0</v>
      </c>
      <c r="K206" t="s">
        <v>292</v>
      </c>
    </row>
    <row r="207" spans="1:11" x14ac:dyDescent="0.25">
      <c r="A207">
        <v>206</v>
      </c>
      <c r="B207" t="s">
        <v>257</v>
      </c>
      <c r="C207" t="s">
        <v>55</v>
      </c>
      <c r="D207">
        <v>26</v>
      </c>
      <c r="E207" t="e">
        <f t="shared" si="10"/>
        <v>#NAME?</v>
      </c>
      <c r="F207" t="e">
        <f t="shared" si="10"/>
        <v>#NAME?</v>
      </c>
      <c r="G207">
        <v>1</v>
      </c>
      <c r="H207">
        <v>2086</v>
      </c>
      <c r="I207">
        <v>0</v>
      </c>
      <c r="J207">
        <v>0</v>
      </c>
      <c r="K207" t="s">
        <v>292</v>
      </c>
    </row>
    <row r="208" spans="1:11" x14ac:dyDescent="0.25">
      <c r="A208">
        <v>207</v>
      </c>
      <c r="B208" t="s">
        <v>243</v>
      </c>
      <c r="C208" t="s">
        <v>41</v>
      </c>
      <c r="D208">
        <v>26</v>
      </c>
      <c r="E208" t="e">
        <f t="shared" si="10"/>
        <v>#NAME?</v>
      </c>
      <c r="F208" t="e">
        <f t="shared" si="10"/>
        <v>#NAME?</v>
      </c>
      <c r="G208">
        <v>0.75</v>
      </c>
      <c r="H208">
        <v>2086</v>
      </c>
      <c r="I208">
        <v>0</v>
      </c>
      <c r="J208">
        <v>0</v>
      </c>
      <c r="K208" t="s">
        <v>292</v>
      </c>
    </row>
    <row r="209" spans="1:11" x14ac:dyDescent="0.25">
      <c r="A209">
        <v>208</v>
      </c>
      <c r="B209" t="s">
        <v>250</v>
      </c>
      <c r="C209" t="s">
        <v>53</v>
      </c>
      <c r="D209">
        <v>23</v>
      </c>
      <c r="E209" t="e">
        <f t="shared" si="10"/>
        <v>#NAME?</v>
      </c>
      <c r="F209" t="e">
        <f t="shared" si="10"/>
        <v>#NAME?</v>
      </c>
      <c r="G209">
        <v>0.75</v>
      </c>
      <c r="H209">
        <v>2086</v>
      </c>
      <c r="I209">
        <v>0</v>
      </c>
      <c r="J209">
        <v>0</v>
      </c>
      <c r="K209" t="s">
        <v>292</v>
      </c>
    </row>
    <row r="210" spans="1:11" x14ac:dyDescent="0.25">
      <c r="A210">
        <v>209</v>
      </c>
      <c r="B210" t="s">
        <v>247</v>
      </c>
      <c r="C210" t="s">
        <v>53</v>
      </c>
      <c r="D210">
        <v>22</v>
      </c>
      <c r="E210" t="e">
        <f t="shared" si="10"/>
        <v>#NAME?</v>
      </c>
      <c r="F210" t="e">
        <f t="shared" si="10"/>
        <v>#NAME?</v>
      </c>
      <c r="G210">
        <v>2.15</v>
      </c>
      <c r="H210">
        <v>2085</v>
      </c>
      <c r="I210">
        <v>0</v>
      </c>
      <c r="J210">
        <v>0</v>
      </c>
      <c r="K210" t="s">
        <v>292</v>
      </c>
    </row>
    <row r="211" spans="1:11" x14ac:dyDescent="0.25">
      <c r="A211">
        <v>210</v>
      </c>
      <c r="B211" t="s">
        <v>238</v>
      </c>
      <c r="C211" t="s">
        <v>46</v>
      </c>
      <c r="D211">
        <v>21</v>
      </c>
      <c r="E211" t="e">
        <f t="shared" si="10"/>
        <v>#NAME?</v>
      </c>
      <c r="F211" t="e">
        <f t="shared" si="10"/>
        <v>#NAME?</v>
      </c>
      <c r="G211">
        <v>1.05</v>
      </c>
      <c r="H211">
        <v>2085</v>
      </c>
      <c r="I211">
        <v>0</v>
      </c>
      <c r="J211">
        <v>0</v>
      </c>
      <c r="K211" t="s">
        <v>292</v>
      </c>
    </row>
    <row r="212" spans="1:11" x14ac:dyDescent="0.25">
      <c r="A212">
        <v>211</v>
      </c>
      <c r="B212" t="s">
        <v>258</v>
      </c>
      <c r="C212" t="s">
        <v>55</v>
      </c>
      <c r="D212">
        <v>22</v>
      </c>
      <c r="E212" t="e">
        <f t="shared" si="10"/>
        <v>#NAME?</v>
      </c>
      <c r="F212" t="e">
        <f t="shared" si="10"/>
        <v>#NAME?</v>
      </c>
      <c r="G212">
        <v>1.94</v>
      </c>
      <c r="H212">
        <v>2085</v>
      </c>
      <c r="I212">
        <v>0</v>
      </c>
      <c r="J212">
        <v>0</v>
      </c>
      <c r="K212" t="s">
        <v>292</v>
      </c>
    </row>
    <row r="213" spans="1:11" x14ac:dyDescent="0.25">
      <c r="A213">
        <v>212</v>
      </c>
      <c r="B213" t="s">
        <v>249</v>
      </c>
      <c r="C213" t="s">
        <v>37</v>
      </c>
      <c r="D213">
        <v>22</v>
      </c>
      <c r="E213" t="e">
        <f t="shared" si="10"/>
        <v>#NAME?</v>
      </c>
      <c r="F213" t="e">
        <f t="shared" si="10"/>
        <v>#NAME?</v>
      </c>
      <c r="G213">
        <v>0.75</v>
      </c>
      <c r="H213">
        <v>2085</v>
      </c>
      <c r="I213">
        <v>0</v>
      </c>
      <c r="J213">
        <v>0</v>
      </c>
      <c r="K213" t="s">
        <v>292</v>
      </c>
    </row>
    <row r="214" spans="1:11" x14ac:dyDescent="0.25">
      <c r="A214">
        <v>213</v>
      </c>
      <c r="B214" t="s">
        <v>246</v>
      </c>
      <c r="C214" t="s">
        <v>55</v>
      </c>
      <c r="D214">
        <v>24</v>
      </c>
      <c r="E214" t="e">
        <f t="shared" si="10"/>
        <v>#NAME?</v>
      </c>
      <c r="F214" t="e">
        <f t="shared" si="10"/>
        <v>#NAME?</v>
      </c>
      <c r="G214">
        <v>1.01</v>
      </c>
      <c r="H214">
        <v>2085</v>
      </c>
      <c r="I214">
        <v>0</v>
      </c>
      <c r="J214">
        <v>0</v>
      </c>
      <c r="K214" t="s">
        <v>292</v>
      </c>
    </row>
    <row r="215" spans="1:11" x14ac:dyDescent="0.25">
      <c r="A215">
        <v>214</v>
      </c>
      <c r="B215" t="s">
        <v>259</v>
      </c>
      <c r="C215" t="s">
        <v>53</v>
      </c>
      <c r="D215">
        <v>22</v>
      </c>
      <c r="E215" t="e">
        <f t="shared" si="10"/>
        <v>#NAME?</v>
      </c>
      <c r="F215" t="e">
        <f t="shared" si="10"/>
        <v>#NAME?</v>
      </c>
      <c r="G215">
        <v>1.38</v>
      </c>
      <c r="H215">
        <v>2086</v>
      </c>
      <c r="I215">
        <v>0</v>
      </c>
      <c r="J215">
        <v>0</v>
      </c>
      <c r="K215" t="s">
        <v>292</v>
      </c>
    </row>
    <row r="216" spans="1:11" x14ac:dyDescent="0.25">
      <c r="A216">
        <v>215</v>
      </c>
      <c r="B216" t="s">
        <v>251</v>
      </c>
      <c r="C216" t="s">
        <v>55</v>
      </c>
      <c r="D216">
        <v>21</v>
      </c>
      <c r="E216" t="e">
        <f t="shared" si="10"/>
        <v>#NAME?</v>
      </c>
      <c r="F216" t="e">
        <f t="shared" si="10"/>
        <v>#NAME?</v>
      </c>
      <c r="G216">
        <v>0.75</v>
      </c>
      <c r="H216">
        <v>2085</v>
      </c>
      <c r="I216">
        <v>0</v>
      </c>
      <c r="J216">
        <v>0</v>
      </c>
      <c r="K216" t="s">
        <v>292</v>
      </c>
    </row>
    <row r="217" spans="1:11" x14ac:dyDescent="0.25">
      <c r="A217">
        <v>216</v>
      </c>
      <c r="B217" t="s">
        <v>256</v>
      </c>
      <c r="C217" t="s">
        <v>55</v>
      </c>
      <c r="D217">
        <v>22</v>
      </c>
      <c r="E217" t="e">
        <f t="shared" si="10"/>
        <v>#NAME?</v>
      </c>
      <c r="F217" t="e">
        <f t="shared" si="10"/>
        <v>#NAME?</v>
      </c>
      <c r="G217">
        <v>1.01</v>
      </c>
      <c r="H217">
        <v>2085</v>
      </c>
      <c r="I217">
        <v>0</v>
      </c>
      <c r="J217">
        <v>0</v>
      </c>
      <c r="K217" t="s">
        <v>292</v>
      </c>
    </row>
    <row r="218" spans="1:11" x14ac:dyDescent="0.25">
      <c r="A218">
        <v>217</v>
      </c>
      <c r="B218" t="s">
        <v>272</v>
      </c>
      <c r="C218" t="s">
        <v>46</v>
      </c>
      <c r="D218">
        <v>25</v>
      </c>
      <c r="E218" t="e">
        <f t="shared" si="10"/>
        <v>#NAME?</v>
      </c>
      <c r="F218" t="e">
        <f t="shared" si="10"/>
        <v>#NAME?</v>
      </c>
      <c r="G218">
        <v>0.75</v>
      </c>
      <c r="H218">
        <v>2085</v>
      </c>
      <c r="I218">
        <v>0</v>
      </c>
      <c r="J218">
        <v>0</v>
      </c>
      <c r="K218" t="s">
        <v>292</v>
      </c>
    </row>
    <row r="219" spans="1:11" x14ac:dyDescent="0.25">
      <c r="A219">
        <v>218</v>
      </c>
      <c r="B219" t="s">
        <v>271</v>
      </c>
      <c r="C219" t="s">
        <v>37</v>
      </c>
      <c r="D219">
        <v>19</v>
      </c>
      <c r="E219" t="e">
        <f t="shared" si="10"/>
        <v>#NAME?</v>
      </c>
      <c r="F219" t="e">
        <f t="shared" si="10"/>
        <v>#NAME?</v>
      </c>
      <c r="G219">
        <v>0.75</v>
      </c>
      <c r="H219">
        <v>2086</v>
      </c>
      <c r="I219">
        <v>0</v>
      </c>
      <c r="J219">
        <v>0</v>
      </c>
      <c r="K219" t="s">
        <v>292</v>
      </c>
    </row>
    <row r="220" spans="1:11" x14ac:dyDescent="0.25">
      <c r="A220">
        <v>219</v>
      </c>
      <c r="B220" t="s">
        <v>254</v>
      </c>
      <c r="C220" t="s">
        <v>55</v>
      </c>
      <c r="D220">
        <v>20</v>
      </c>
      <c r="E220" t="e">
        <f t="shared" si="10"/>
        <v>#NAME?</v>
      </c>
      <c r="F220" t="e">
        <f t="shared" si="10"/>
        <v>#NAME?</v>
      </c>
      <c r="G220">
        <v>0.75</v>
      </c>
      <c r="H220">
        <v>2086</v>
      </c>
      <c r="I220">
        <v>0</v>
      </c>
      <c r="J220">
        <v>0</v>
      </c>
      <c r="K220" t="s">
        <v>292</v>
      </c>
    </row>
    <row r="221" spans="1:11" x14ac:dyDescent="0.25">
      <c r="A221">
        <v>220</v>
      </c>
      <c r="B221" t="s">
        <v>273</v>
      </c>
      <c r="C221" t="s">
        <v>53</v>
      </c>
      <c r="D221">
        <v>23</v>
      </c>
      <c r="E221" t="e">
        <f t="shared" si="10"/>
        <v>#NAME?</v>
      </c>
      <c r="F221" t="e">
        <f t="shared" si="10"/>
        <v>#NAME?</v>
      </c>
      <c r="G221">
        <v>0.75</v>
      </c>
      <c r="H221">
        <v>2086</v>
      </c>
      <c r="I221">
        <v>0</v>
      </c>
      <c r="J221">
        <v>0</v>
      </c>
      <c r="K221" t="s">
        <v>292</v>
      </c>
    </row>
    <row r="222" spans="1:11" x14ac:dyDescent="0.25">
      <c r="A222">
        <v>221</v>
      </c>
      <c r="B222" t="s">
        <v>265</v>
      </c>
      <c r="C222" t="s">
        <v>60</v>
      </c>
      <c r="D222">
        <v>19</v>
      </c>
      <c r="E222" t="e">
        <f t="shared" ref="E222:F241" si="11">-Infinity</f>
        <v>#NAME?</v>
      </c>
      <c r="F222" t="e">
        <f t="shared" si="11"/>
        <v>#NAME?</v>
      </c>
      <c r="G222">
        <v>0.75</v>
      </c>
      <c r="H222">
        <v>2086</v>
      </c>
      <c r="I222">
        <v>0</v>
      </c>
      <c r="J222">
        <v>0</v>
      </c>
      <c r="K222" t="s">
        <v>292</v>
      </c>
    </row>
    <row r="223" spans="1:11" x14ac:dyDescent="0.25">
      <c r="A223">
        <v>222</v>
      </c>
      <c r="B223" t="s">
        <v>274</v>
      </c>
      <c r="C223" t="s">
        <v>35</v>
      </c>
      <c r="D223">
        <v>22</v>
      </c>
      <c r="E223" t="e">
        <f t="shared" si="11"/>
        <v>#NAME?</v>
      </c>
      <c r="F223" t="e">
        <f t="shared" si="11"/>
        <v>#NAME?</v>
      </c>
      <c r="G223">
        <v>4.34</v>
      </c>
      <c r="H223">
        <v>2085</v>
      </c>
      <c r="I223">
        <v>0</v>
      </c>
      <c r="J223">
        <v>0</v>
      </c>
      <c r="K223" t="s">
        <v>292</v>
      </c>
    </row>
    <row r="224" spans="1:11" x14ac:dyDescent="0.25">
      <c r="A224">
        <v>223</v>
      </c>
      <c r="B224" t="s">
        <v>268</v>
      </c>
      <c r="C224" t="s">
        <v>55</v>
      </c>
      <c r="D224">
        <v>22</v>
      </c>
      <c r="E224" t="e">
        <f t="shared" si="11"/>
        <v>#NAME?</v>
      </c>
      <c r="F224" t="e">
        <f t="shared" si="11"/>
        <v>#NAME?</v>
      </c>
      <c r="G224">
        <v>1.69</v>
      </c>
      <c r="H224">
        <v>2086</v>
      </c>
      <c r="I224">
        <v>0</v>
      </c>
      <c r="J224">
        <v>0</v>
      </c>
      <c r="K224" t="s">
        <v>292</v>
      </c>
    </row>
    <row r="225" spans="1:11" x14ac:dyDescent="0.25">
      <c r="A225">
        <v>224</v>
      </c>
      <c r="B225" t="s">
        <v>261</v>
      </c>
      <c r="C225" t="s">
        <v>43</v>
      </c>
      <c r="D225">
        <v>19</v>
      </c>
      <c r="E225" t="e">
        <f t="shared" si="11"/>
        <v>#NAME?</v>
      </c>
      <c r="F225" t="e">
        <f t="shared" si="11"/>
        <v>#NAME?</v>
      </c>
      <c r="G225">
        <v>0.75</v>
      </c>
      <c r="H225">
        <v>2086</v>
      </c>
      <c r="I225">
        <v>0</v>
      </c>
      <c r="J225">
        <v>0</v>
      </c>
      <c r="K225" t="s">
        <v>292</v>
      </c>
    </row>
    <row r="226" spans="1:11" x14ac:dyDescent="0.25">
      <c r="A226">
        <v>225</v>
      </c>
      <c r="B226" t="s">
        <v>270</v>
      </c>
      <c r="C226" t="s">
        <v>37</v>
      </c>
      <c r="D226">
        <v>20</v>
      </c>
      <c r="E226" t="e">
        <f t="shared" si="11"/>
        <v>#NAME?</v>
      </c>
      <c r="F226" t="e">
        <f t="shared" si="11"/>
        <v>#NAME?</v>
      </c>
      <c r="G226">
        <v>0.75</v>
      </c>
      <c r="H226">
        <v>2085</v>
      </c>
      <c r="I226">
        <v>0</v>
      </c>
      <c r="J226">
        <v>0</v>
      </c>
      <c r="K226" t="s">
        <v>292</v>
      </c>
    </row>
    <row r="227" spans="1:11" x14ac:dyDescent="0.25">
      <c r="A227">
        <v>226</v>
      </c>
      <c r="B227" t="s">
        <v>266</v>
      </c>
      <c r="C227" t="s">
        <v>53</v>
      </c>
      <c r="D227">
        <v>22</v>
      </c>
      <c r="E227" t="e">
        <f t="shared" si="11"/>
        <v>#NAME?</v>
      </c>
      <c r="F227" t="e">
        <f t="shared" si="11"/>
        <v>#NAME?</v>
      </c>
      <c r="G227">
        <v>0.75</v>
      </c>
      <c r="H227">
        <v>2085</v>
      </c>
      <c r="I227">
        <v>0</v>
      </c>
      <c r="J227">
        <v>0</v>
      </c>
      <c r="K227" t="s">
        <v>292</v>
      </c>
    </row>
    <row r="228" spans="1:11" x14ac:dyDescent="0.25">
      <c r="A228">
        <v>227</v>
      </c>
      <c r="B228" t="s">
        <v>269</v>
      </c>
      <c r="C228" t="s">
        <v>60</v>
      </c>
      <c r="D228">
        <v>21</v>
      </c>
      <c r="E228" t="e">
        <f t="shared" si="11"/>
        <v>#NAME?</v>
      </c>
      <c r="F228" t="e">
        <f t="shared" si="11"/>
        <v>#NAME?</v>
      </c>
      <c r="G228">
        <v>0.75</v>
      </c>
      <c r="H228">
        <v>2085</v>
      </c>
      <c r="I228">
        <v>0</v>
      </c>
      <c r="J228">
        <v>0</v>
      </c>
      <c r="K228" t="s">
        <v>292</v>
      </c>
    </row>
    <row r="229" spans="1:11" x14ac:dyDescent="0.25">
      <c r="A229">
        <v>228</v>
      </c>
      <c r="B229" t="s">
        <v>260</v>
      </c>
      <c r="C229" t="s">
        <v>41</v>
      </c>
      <c r="D229">
        <v>20</v>
      </c>
      <c r="E229" t="e">
        <f t="shared" si="11"/>
        <v>#NAME?</v>
      </c>
      <c r="F229" t="e">
        <f t="shared" si="11"/>
        <v>#NAME?</v>
      </c>
      <c r="G229">
        <v>1.53</v>
      </c>
      <c r="H229">
        <v>2087</v>
      </c>
      <c r="I229">
        <v>0</v>
      </c>
      <c r="J229">
        <v>0</v>
      </c>
      <c r="K229" t="s">
        <v>292</v>
      </c>
    </row>
    <row r="230" spans="1:11" x14ac:dyDescent="0.25">
      <c r="A230">
        <v>229</v>
      </c>
      <c r="B230" t="s">
        <v>263</v>
      </c>
      <c r="C230" t="s">
        <v>53</v>
      </c>
      <c r="D230">
        <v>22</v>
      </c>
      <c r="E230" t="e">
        <f t="shared" si="11"/>
        <v>#NAME?</v>
      </c>
      <c r="F230" t="e">
        <f t="shared" si="11"/>
        <v>#NAME?</v>
      </c>
      <c r="G230">
        <v>1.01</v>
      </c>
      <c r="H230">
        <v>2087</v>
      </c>
      <c r="I230">
        <v>0</v>
      </c>
      <c r="J230">
        <v>0</v>
      </c>
      <c r="K230" t="s">
        <v>292</v>
      </c>
    </row>
    <row r="231" spans="1:11" x14ac:dyDescent="0.25">
      <c r="A231">
        <v>230</v>
      </c>
      <c r="B231" t="s">
        <v>262</v>
      </c>
      <c r="C231" t="s">
        <v>53</v>
      </c>
      <c r="D231">
        <v>21</v>
      </c>
      <c r="E231" t="e">
        <f t="shared" si="11"/>
        <v>#NAME?</v>
      </c>
      <c r="F231" t="e">
        <f t="shared" si="11"/>
        <v>#NAME?</v>
      </c>
      <c r="G231">
        <v>0.75</v>
      </c>
      <c r="H231">
        <v>2086</v>
      </c>
      <c r="I231">
        <v>0</v>
      </c>
      <c r="J231">
        <v>0</v>
      </c>
      <c r="K231" t="s">
        <v>292</v>
      </c>
    </row>
    <row r="232" spans="1:11" x14ac:dyDescent="0.25">
      <c r="A232">
        <v>231</v>
      </c>
      <c r="B232" t="s">
        <v>277</v>
      </c>
      <c r="C232" t="s">
        <v>37</v>
      </c>
      <c r="D232">
        <v>19</v>
      </c>
      <c r="E232" t="e">
        <f t="shared" si="11"/>
        <v>#NAME?</v>
      </c>
      <c r="F232" t="e">
        <f t="shared" si="11"/>
        <v>#NAME?</v>
      </c>
      <c r="G232">
        <v>0.75</v>
      </c>
      <c r="H232">
        <v>2086</v>
      </c>
      <c r="I232">
        <v>0</v>
      </c>
      <c r="J232">
        <v>0</v>
      </c>
      <c r="K232" t="s">
        <v>292</v>
      </c>
    </row>
    <row r="233" spans="1:11" x14ac:dyDescent="0.25">
      <c r="A233">
        <v>232</v>
      </c>
      <c r="B233" t="s">
        <v>275</v>
      </c>
      <c r="C233" t="s">
        <v>43</v>
      </c>
      <c r="D233">
        <v>20</v>
      </c>
      <c r="E233" t="e">
        <f t="shared" si="11"/>
        <v>#NAME?</v>
      </c>
      <c r="F233" t="e">
        <f t="shared" si="11"/>
        <v>#NAME?</v>
      </c>
      <c r="G233">
        <v>0.75</v>
      </c>
      <c r="H233">
        <v>2085</v>
      </c>
      <c r="I233">
        <v>0</v>
      </c>
      <c r="J233">
        <v>0</v>
      </c>
      <c r="K233" t="s">
        <v>292</v>
      </c>
    </row>
    <row r="234" spans="1:11" x14ac:dyDescent="0.25">
      <c r="A234">
        <v>233</v>
      </c>
      <c r="B234" t="s">
        <v>276</v>
      </c>
      <c r="C234" t="s">
        <v>43</v>
      </c>
      <c r="D234">
        <v>20</v>
      </c>
      <c r="E234" t="e">
        <f t="shared" si="11"/>
        <v>#NAME?</v>
      </c>
      <c r="F234" t="e">
        <f t="shared" si="11"/>
        <v>#NAME?</v>
      </c>
      <c r="G234">
        <v>0.75</v>
      </c>
      <c r="H234">
        <v>2085</v>
      </c>
      <c r="I234">
        <v>0</v>
      </c>
      <c r="J234">
        <v>0</v>
      </c>
      <c r="K234" t="s">
        <v>292</v>
      </c>
    </row>
    <row r="235" spans="1:11" x14ac:dyDescent="0.25">
      <c r="A235">
        <v>234</v>
      </c>
      <c r="B235" t="s">
        <v>278</v>
      </c>
      <c r="C235" t="s">
        <v>60</v>
      </c>
      <c r="D235">
        <v>19</v>
      </c>
      <c r="E235" t="e">
        <f t="shared" si="11"/>
        <v>#NAME?</v>
      </c>
      <c r="F235" t="e">
        <f t="shared" si="11"/>
        <v>#NAME?</v>
      </c>
      <c r="G235">
        <v>0.75</v>
      </c>
      <c r="H235">
        <v>2086</v>
      </c>
      <c r="I235">
        <v>0</v>
      </c>
      <c r="J235">
        <v>0</v>
      </c>
      <c r="K235" t="s">
        <v>292</v>
      </c>
    </row>
    <row r="236" spans="1:11" x14ac:dyDescent="0.25">
      <c r="A236">
        <v>235</v>
      </c>
      <c r="B236" t="s">
        <v>264</v>
      </c>
      <c r="C236" t="s">
        <v>60</v>
      </c>
      <c r="D236">
        <v>19</v>
      </c>
      <c r="E236" t="e">
        <f t="shared" si="11"/>
        <v>#NAME?</v>
      </c>
      <c r="F236" t="e">
        <f t="shared" si="11"/>
        <v>#NAME?</v>
      </c>
      <c r="G236">
        <v>2.57</v>
      </c>
      <c r="H236">
        <v>2087</v>
      </c>
      <c r="I236">
        <v>0</v>
      </c>
      <c r="J236">
        <v>0</v>
      </c>
      <c r="K236" t="s">
        <v>292</v>
      </c>
    </row>
    <row r="237" spans="1:11" x14ac:dyDescent="0.25">
      <c r="A237">
        <v>236</v>
      </c>
      <c r="B237" t="s">
        <v>279</v>
      </c>
      <c r="C237" t="s">
        <v>55</v>
      </c>
      <c r="D237">
        <v>21</v>
      </c>
      <c r="E237" t="e">
        <f t="shared" si="11"/>
        <v>#NAME?</v>
      </c>
      <c r="F237" t="e">
        <f t="shared" si="11"/>
        <v>#NAME?</v>
      </c>
      <c r="G237">
        <v>3.61</v>
      </c>
      <c r="H237">
        <v>2085</v>
      </c>
      <c r="I237">
        <v>0</v>
      </c>
      <c r="J237">
        <v>0</v>
      </c>
      <c r="K237" t="s">
        <v>292</v>
      </c>
    </row>
    <row r="238" spans="1:11" x14ac:dyDescent="0.25">
      <c r="A238">
        <v>237</v>
      </c>
      <c r="B238" t="s">
        <v>267</v>
      </c>
      <c r="C238" t="s">
        <v>43</v>
      </c>
      <c r="D238">
        <v>20</v>
      </c>
      <c r="E238" t="e">
        <f t="shared" si="11"/>
        <v>#NAME?</v>
      </c>
      <c r="F238" t="e">
        <f t="shared" si="11"/>
        <v>#NAME?</v>
      </c>
      <c r="G238">
        <v>0.75</v>
      </c>
      <c r="H238">
        <v>2086</v>
      </c>
      <c r="I238">
        <v>0</v>
      </c>
      <c r="J238">
        <v>0</v>
      </c>
      <c r="K238" t="s">
        <v>292</v>
      </c>
    </row>
    <row r="239" spans="1:11" x14ac:dyDescent="0.25">
      <c r="A239">
        <v>238</v>
      </c>
      <c r="B239" t="s">
        <v>281</v>
      </c>
      <c r="C239" t="s">
        <v>75</v>
      </c>
      <c r="D239">
        <v>20</v>
      </c>
      <c r="E239" t="e">
        <f t="shared" si="11"/>
        <v>#NAME?</v>
      </c>
      <c r="F239" t="e">
        <f t="shared" si="11"/>
        <v>#NAME?</v>
      </c>
      <c r="G239">
        <v>0.75</v>
      </c>
      <c r="H239">
        <v>2085</v>
      </c>
      <c r="I239">
        <v>0</v>
      </c>
      <c r="J239">
        <v>0</v>
      </c>
      <c r="K239" t="s">
        <v>292</v>
      </c>
    </row>
    <row r="240" spans="1:11" x14ac:dyDescent="0.25">
      <c r="A240">
        <v>239</v>
      </c>
      <c r="B240" t="s">
        <v>282</v>
      </c>
      <c r="C240" t="s">
        <v>43</v>
      </c>
      <c r="D240">
        <v>20</v>
      </c>
      <c r="E240" t="e">
        <f t="shared" si="11"/>
        <v>#NAME?</v>
      </c>
      <c r="F240" t="e">
        <f t="shared" si="11"/>
        <v>#NAME?</v>
      </c>
      <c r="G240">
        <v>0.75</v>
      </c>
      <c r="H240">
        <v>2085</v>
      </c>
      <c r="I240">
        <v>0</v>
      </c>
      <c r="J240">
        <v>0</v>
      </c>
      <c r="K240" t="s">
        <v>292</v>
      </c>
    </row>
    <row r="241" spans="1:11" x14ac:dyDescent="0.25">
      <c r="A241">
        <v>240</v>
      </c>
      <c r="B241" t="s">
        <v>280</v>
      </c>
      <c r="C241" t="s">
        <v>60</v>
      </c>
      <c r="D241">
        <v>21</v>
      </c>
      <c r="E241" t="e">
        <f t="shared" si="11"/>
        <v>#NAME?</v>
      </c>
      <c r="F241" t="e">
        <f t="shared" si="11"/>
        <v>#NAME?</v>
      </c>
      <c r="G241">
        <v>0.75</v>
      </c>
      <c r="H241">
        <v>2085</v>
      </c>
      <c r="I241">
        <v>0</v>
      </c>
      <c r="J241">
        <v>0</v>
      </c>
      <c r="K241" t="s">
        <v>292</v>
      </c>
    </row>
    <row r="242" spans="1:11" x14ac:dyDescent="0.25">
      <c r="A242">
        <v>241</v>
      </c>
      <c r="B242" t="s">
        <v>293</v>
      </c>
      <c r="C242" t="s">
        <v>37</v>
      </c>
      <c r="D242">
        <v>22</v>
      </c>
      <c r="E242" t="e">
        <f t="shared" ref="E242:F261" si="12">-Infinity</f>
        <v>#NAME?</v>
      </c>
      <c r="F242" t="e">
        <f t="shared" si="12"/>
        <v>#NAME?</v>
      </c>
      <c r="G242">
        <v>0.75</v>
      </c>
      <c r="H242">
        <v>2085</v>
      </c>
      <c r="I242">
        <v>0</v>
      </c>
      <c r="J242">
        <v>0</v>
      </c>
      <c r="K242" t="s">
        <v>292</v>
      </c>
    </row>
    <row r="243" spans="1:11" x14ac:dyDescent="0.25">
      <c r="A243">
        <v>242</v>
      </c>
      <c r="B243" t="s">
        <v>294</v>
      </c>
      <c r="C243" t="s">
        <v>75</v>
      </c>
      <c r="D243">
        <v>20</v>
      </c>
      <c r="E243" t="e">
        <f t="shared" si="12"/>
        <v>#NAME?</v>
      </c>
      <c r="F243" t="e">
        <f t="shared" si="12"/>
        <v>#NAME?</v>
      </c>
      <c r="G243">
        <v>0.75</v>
      </c>
      <c r="H243">
        <v>2085</v>
      </c>
      <c r="I243">
        <v>0</v>
      </c>
      <c r="J243">
        <v>0</v>
      </c>
      <c r="K243" t="s">
        <v>292</v>
      </c>
    </row>
    <row r="244" spans="1:11" x14ac:dyDescent="0.25">
      <c r="A244">
        <v>243</v>
      </c>
      <c r="B244" t="s">
        <v>295</v>
      </c>
      <c r="C244" t="s">
        <v>43</v>
      </c>
      <c r="D244">
        <v>30</v>
      </c>
      <c r="E244" t="e">
        <f t="shared" si="12"/>
        <v>#NAME?</v>
      </c>
      <c r="F244" t="e">
        <f t="shared" si="12"/>
        <v>#NAME?</v>
      </c>
      <c r="G244">
        <v>0.75</v>
      </c>
      <c r="H244">
        <v>2086</v>
      </c>
      <c r="I244">
        <v>0</v>
      </c>
      <c r="J244">
        <v>0</v>
      </c>
      <c r="K244" t="s">
        <v>292</v>
      </c>
    </row>
    <row r="245" spans="1:11" x14ac:dyDescent="0.25">
      <c r="A245">
        <v>244</v>
      </c>
      <c r="B245" t="s">
        <v>296</v>
      </c>
      <c r="C245" t="s">
        <v>35</v>
      </c>
      <c r="D245">
        <v>23</v>
      </c>
      <c r="E245" t="e">
        <f t="shared" si="12"/>
        <v>#NAME?</v>
      </c>
      <c r="F245" t="e">
        <f t="shared" si="12"/>
        <v>#NAME?</v>
      </c>
      <c r="G245">
        <v>1.28</v>
      </c>
      <c r="H245">
        <v>2085</v>
      </c>
      <c r="I245">
        <v>0</v>
      </c>
      <c r="J245">
        <v>0</v>
      </c>
      <c r="K245" t="s">
        <v>292</v>
      </c>
    </row>
    <row r="246" spans="1:11" x14ac:dyDescent="0.25">
      <c r="A246">
        <v>245</v>
      </c>
      <c r="B246" t="s">
        <v>297</v>
      </c>
      <c r="C246" t="s">
        <v>37</v>
      </c>
      <c r="D246">
        <v>23</v>
      </c>
      <c r="E246" t="e">
        <f t="shared" si="12"/>
        <v>#NAME?</v>
      </c>
      <c r="F246" t="e">
        <f t="shared" si="12"/>
        <v>#NAME?</v>
      </c>
      <c r="G246">
        <v>0.75</v>
      </c>
      <c r="H246">
        <v>2085</v>
      </c>
      <c r="I246">
        <v>0</v>
      </c>
      <c r="J246">
        <v>0</v>
      </c>
      <c r="K246" t="s">
        <v>292</v>
      </c>
    </row>
    <row r="247" spans="1:11" x14ac:dyDescent="0.25">
      <c r="A247">
        <v>246</v>
      </c>
      <c r="B247" t="s">
        <v>298</v>
      </c>
      <c r="C247" t="s">
        <v>60</v>
      </c>
      <c r="D247">
        <v>31</v>
      </c>
      <c r="E247" t="e">
        <f t="shared" si="12"/>
        <v>#NAME?</v>
      </c>
      <c r="F247" t="e">
        <f t="shared" si="12"/>
        <v>#NAME?</v>
      </c>
      <c r="G247">
        <v>0.9</v>
      </c>
      <c r="H247">
        <v>2086</v>
      </c>
      <c r="I247">
        <v>0</v>
      </c>
      <c r="J247">
        <v>0</v>
      </c>
      <c r="K247" t="s">
        <v>292</v>
      </c>
    </row>
    <row r="248" spans="1:11" x14ac:dyDescent="0.25">
      <c r="A248">
        <v>247</v>
      </c>
      <c r="B248" t="s">
        <v>299</v>
      </c>
      <c r="C248" t="s">
        <v>37</v>
      </c>
      <c r="D248">
        <v>22</v>
      </c>
      <c r="E248" t="e">
        <f t="shared" si="12"/>
        <v>#NAME?</v>
      </c>
      <c r="F248" t="e">
        <f t="shared" si="12"/>
        <v>#NAME?</v>
      </c>
      <c r="G248">
        <v>0.75</v>
      </c>
      <c r="H248">
        <v>2086</v>
      </c>
      <c r="I248">
        <v>0</v>
      </c>
      <c r="J248">
        <v>0</v>
      </c>
      <c r="K248" t="s">
        <v>292</v>
      </c>
    </row>
    <row r="249" spans="1:11" x14ac:dyDescent="0.25">
      <c r="A249">
        <v>248</v>
      </c>
      <c r="B249" t="s">
        <v>300</v>
      </c>
      <c r="C249" t="s">
        <v>46</v>
      </c>
      <c r="D249">
        <v>29</v>
      </c>
      <c r="E249" t="e">
        <f t="shared" si="12"/>
        <v>#NAME?</v>
      </c>
      <c r="F249" t="e">
        <f t="shared" si="12"/>
        <v>#NAME?</v>
      </c>
      <c r="G249">
        <v>0.8</v>
      </c>
      <c r="H249">
        <v>2085</v>
      </c>
      <c r="I249">
        <v>0</v>
      </c>
      <c r="J249">
        <v>0</v>
      </c>
      <c r="K249" t="s">
        <v>292</v>
      </c>
    </row>
    <row r="250" spans="1:11" x14ac:dyDescent="0.25">
      <c r="A250">
        <v>249</v>
      </c>
      <c r="B250" t="s">
        <v>301</v>
      </c>
      <c r="C250" t="s">
        <v>43</v>
      </c>
      <c r="D250">
        <v>23</v>
      </c>
      <c r="E250" t="e">
        <f t="shared" si="12"/>
        <v>#NAME?</v>
      </c>
      <c r="F250" t="e">
        <f t="shared" si="12"/>
        <v>#NAME?</v>
      </c>
      <c r="G250">
        <v>0.75</v>
      </c>
      <c r="H250">
        <v>2086</v>
      </c>
      <c r="I250">
        <v>0</v>
      </c>
      <c r="J250">
        <v>0</v>
      </c>
      <c r="K250" t="s">
        <v>292</v>
      </c>
    </row>
    <row r="251" spans="1:11" x14ac:dyDescent="0.25">
      <c r="A251">
        <v>250</v>
      </c>
      <c r="B251" t="s">
        <v>302</v>
      </c>
      <c r="C251" t="s">
        <v>55</v>
      </c>
      <c r="D251">
        <v>20</v>
      </c>
      <c r="E251" t="e">
        <f t="shared" si="12"/>
        <v>#NAME?</v>
      </c>
      <c r="F251" t="e">
        <f t="shared" si="12"/>
        <v>#NAME?</v>
      </c>
      <c r="G251">
        <v>0.75</v>
      </c>
      <c r="H251">
        <v>2085</v>
      </c>
      <c r="I251">
        <v>0</v>
      </c>
      <c r="J251">
        <v>0</v>
      </c>
      <c r="K251" t="s">
        <v>292</v>
      </c>
    </row>
    <row r="252" spans="1:11" x14ac:dyDescent="0.25">
      <c r="A252">
        <v>251</v>
      </c>
      <c r="B252" t="s">
        <v>303</v>
      </c>
      <c r="C252" t="s">
        <v>46</v>
      </c>
      <c r="D252">
        <v>35</v>
      </c>
      <c r="E252" t="e">
        <f t="shared" si="12"/>
        <v>#NAME?</v>
      </c>
      <c r="F252" t="e">
        <f t="shared" si="12"/>
        <v>#NAME?</v>
      </c>
      <c r="G252">
        <v>0.75</v>
      </c>
      <c r="H252">
        <v>2086</v>
      </c>
      <c r="I252">
        <v>0</v>
      </c>
      <c r="J252">
        <v>0</v>
      </c>
      <c r="K252" t="s">
        <v>292</v>
      </c>
    </row>
    <row r="253" spans="1:11" x14ac:dyDescent="0.25">
      <c r="A253">
        <v>252</v>
      </c>
      <c r="B253" t="s">
        <v>304</v>
      </c>
      <c r="C253" t="s">
        <v>53</v>
      </c>
      <c r="D253">
        <v>30</v>
      </c>
      <c r="E253" t="e">
        <f t="shared" si="12"/>
        <v>#NAME?</v>
      </c>
      <c r="F253" t="e">
        <f t="shared" si="12"/>
        <v>#NAME?</v>
      </c>
      <c r="G253">
        <v>0.75</v>
      </c>
      <c r="H253">
        <v>2086</v>
      </c>
      <c r="I253">
        <v>0</v>
      </c>
      <c r="J253">
        <v>0</v>
      </c>
      <c r="K253" t="s">
        <v>292</v>
      </c>
    </row>
    <row r="254" spans="1:11" x14ac:dyDescent="0.25">
      <c r="A254">
        <v>253</v>
      </c>
      <c r="B254" t="s">
        <v>305</v>
      </c>
      <c r="C254" t="s">
        <v>53</v>
      </c>
      <c r="D254">
        <v>30</v>
      </c>
      <c r="E254" t="e">
        <f t="shared" si="12"/>
        <v>#NAME?</v>
      </c>
      <c r="F254" t="e">
        <f t="shared" si="12"/>
        <v>#NAME?</v>
      </c>
      <c r="G254">
        <v>0.75</v>
      </c>
      <c r="H254">
        <v>2085</v>
      </c>
      <c r="I254">
        <v>0</v>
      </c>
      <c r="J254">
        <v>0</v>
      </c>
      <c r="K254" t="s">
        <v>292</v>
      </c>
    </row>
    <row r="255" spans="1:11" x14ac:dyDescent="0.25">
      <c r="A255">
        <v>254</v>
      </c>
      <c r="B255" t="s">
        <v>306</v>
      </c>
      <c r="C255" t="s">
        <v>55</v>
      </c>
      <c r="D255">
        <v>28</v>
      </c>
      <c r="E255" t="e">
        <f t="shared" si="12"/>
        <v>#NAME?</v>
      </c>
      <c r="F255" t="e">
        <f t="shared" si="12"/>
        <v>#NAME?</v>
      </c>
      <c r="G255">
        <v>0.75</v>
      </c>
      <c r="H255">
        <v>2086</v>
      </c>
      <c r="I255">
        <v>0</v>
      </c>
      <c r="J255">
        <v>0</v>
      </c>
      <c r="K255" t="s">
        <v>292</v>
      </c>
    </row>
    <row r="256" spans="1:11" x14ac:dyDescent="0.25">
      <c r="A256">
        <v>255</v>
      </c>
      <c r="B256" t="s">
        <v>307</v>
      </c>
      <c r="C256" t="s">
        <v>46</v>
      </c>
      <c r="D256">
        <v>25</v>
      </c>
      <c r="E256" t="e">
        <f t="shared" si="12"/>
        <v>#NAME?</v>
      </c>
      <c r="F256" t="e">
        <f t="shared" si="12"/>
        <v>#NAME?</v>
      </c>
      <c r="G256">
        <v>0.75</v>
      </c>
      <c r="H256">
        <v>2086</v>
      </c>
      <c r="I256">
        <v>0</v>
      </c>
      <c r="J256">
        <v>0</v>
      </c>
      <c r="K256" t="s">
        <v>292</v>
      </c>
    </row>
    <row r="257" spans="1:11" x14ac:dyDescent="0.25">
      <c r="A257">
        <v>256</v>
      </c>
      <c r="B257" t="s">
        <v>308</v>
      </c>
      <c r="C257" t="s">
        <v>35</v>
      </c>
      <c r="D257">
        <v>26</v>
      </c>
      <c r="E257" t="e">
        <f t="shared" si="12"/>
        <v>#NAME?</v>
      </c>
      <c r="F257" t="e">
        <f t="shared" si="12"/>
        <v>#NAME?</v>
      </c>
      <c r="G257">
        <v>0.75</v>
      </c>
      <c r="H257">
        <v>2085</v>
      </c>
      <c r="I257">
        <v>0</v>
      </c>
      <c r="J257">
        <v>0</v>
      </c>
      <c r="K257" t="s">
        <v>292</v>
      </c>
    </row>
    <row r="258" spans="1:11" x14ac:dyDescent="0.25">
      <c r="A258">
        <v>257</v>
      </c>
      <c r="B258" t="s">
        <v>309</v>
      </c>
      <c r="C258" t="s">
        <v>60</v>
      </c>
      <c r="D258">
        <v>22</v>
      </c>
      <c r="E258" t="e">
        <f t="shared" si="12"/>
        <v>#NAME?</v>
      </c>
      <c r="F258" t="e">
        <f t="shared" si="12"/>
        <v>#NAME?</v>
      </c>
      <c r="G258">
        <v>0.75</v>
      </c>
      <c r="H258">
        <v>2085</v>
      </c>
      <c r="I258">
        <v>0</v>
      </c>
      <c r="J258">
        <v>0</v>
      </c>
      <c r="K258" t="s">
        <v>292</v>
      </c>
    </row>
    <row r="259" spans="1:11" x14ac:dyDescent="0.25">
      <c r="A259">
        <v>258</v>
      </c>
      <c r="B259" t="s">
        <v>310</v>
      </c>
      <c r="C259" t="s">
        <v>53</v>
      </c>
      <c r="D259">
        <v>21</v>
      </c>
      <c r="E259" t="e">
        <f t="shared" si="12"/>
        <v>#NAME?</v>
      </c>
      <c r="F259" t="e">
        <f t="shared" si="12"/>
        <v>#NAME?</v>
      </c>
      <c r="G259">
        <v>0.77</v>
      </c>
      <c r="H259">
        <v>2085</v>
      </c>
      <c r="I259">
        <v>0</v>
      </c>
      <c r="J259">
        <v>0</v>
      </c>
      <c r="K259" t="s">
        <v>292</v>
      </c>
    </row>
    <row r="260" spans="1:11" x14ac:dyDescent="0.25">
      <c r="A260">
        <v>259</v>
      </c>
      <c r="B260" t="s">
        <v>311</v>
      </c>
      <c r="C260" t="s">
        <v>41</v>
      </c>
      <c r="D260">
        <v>25</v>
      </c>
      <c r="E260" t="e">
        <f t="shared" si="12"/>
        <v>#NAME?</v>
      </c>
      <c r="F260" t="e">
        <f t="shared" si="12"/>
        <v>#NAME?</v>
      </c>
      <c r="G260">
        <v>0.75</v>
      </c>
      <c r="H260">
        <v>2086</v>
      </c>
      <c r="I260">
        <v>0</v>
      </c>
      <c r="J260">
        <v>0</v>
      </c>
      <c r="K260" t="s">
        <v>292</v>
      </c>
    </row>
    <row r="261" spans="1:11" x14ac:dyDescent="0.25">
      <c r="A261">
        <v>260</v>
      </c>
      <c r="B261" t="s">
        <v>312</v>
      </c>
      <c r="C261" t="s">
        <v>43</v>
      </c>
      <c r="D261">
        <v>25</v>
      </c>
      <c r="E261" t="e">
        <f t="shared" si="12"/>
        <v>#NAME?</v>
      </c>
      <c r="F261" t="e">
        <f t="shared" si="12"/>
        <v>#NAME?</v>
      </c>
      <c r="G261">
        <v>0.75</v>
      </c>
      <c r="H261">
        <v>2085</v>
      </c>
      <c r="I261">
        <v>0</v>
      </c>
      <c r="J261">
        <v>0</v>
      </c>
      <c r="K261" t="s">
        <v>292</v>
      </c>
    </row>
    <row r="262" spans="1:11" x14ac:dyDescent="0.25">
      <c r="A262">
        <v>261</v>
      </c>
      <c r="B262" t="s">
        <v>313</v>
      </c>
      <c r="C262" t="s">
        <v>46</v>
      </c>
      <c r="D262">
        <v>32</v>
      </c>
      <c r="E262" t="e">
        <f t="shared" ref="E262:F281" si="13">-Infinity</f>
        <v>#NAME?</v>
      </c>
      <c r="F262" t="e">
        <f t="shared" si="13"/>
        <v>#NAME?</v>
      </c>
      <c r="G262">
        <v>0.75</v>
      </c>
      <c r="H262">
        <v>2086</v>
      </c>
      <c r="I262">
        <v>0</v>
      </c>
      <c r="J262">
        <v>0</v>
      </c>
      <c r="K262" t="s">
        <v>292</v>
      </c>
    </row>
    <row r="263" spans="1:11" x14ac:dyDescent="0.25">
      <c r="A263">
        <v>262</v>
      </c>
      <c r="B263" t="s">
        <v>314</v>
      </c>
      <c r="C263" t="s">
        <v>37</v>
      </c>
      <c r="D263">
        <v>31</v>
      </c>
      <c r="E263" t="e">
        <f t="shared" si="13"/>
        <v>#NAME?</v>
      </c>
      <c r="F263" t="e">
        <f t="shared" si="13"/>
        <v>#NAME?</v>
      </c>
      <c r="G263">
        <v>0.75</v>
      </c>
      <c r="H263">
        <v>2086</v>
      </c>
      <c r="I263">
        <v>0</v>
      </c>
      <c r="J263">
        <v>0</v>
      </c>
      <c r="K263" t="s">
        <v>292</v>
      </c>
    </row>
    <row r="264" spans="1:11" x14ac:dyDescent="0.25">
      <c r="A264">
        <v>263</v>
      </c>
      <c r="B264" t="s">
        <v>315</v>
      </c>
      <c r="C264" t="s">
        <v>43</v>
      </c>
      <c r="D264">
        <v>31</v>
      </c>
      <c r="E264" t="e">
        <f t="shared" si="13"/>
        <v>#NAME?</v>
      </c>
      <c r="F264" t="e">
        <f t="shared" si="13"/>
        <v>#NAME?</v>
      </c>
      <c r="G264">
        <v>0.75</v>
      </c>
      <c r="H264">
        <v>2086</v>
      </c>
      <c r="I264">
        <v>0</v>
      </c>
      <c r="J264">
        <v>0</v>
      </c>
      <c r="K264" t="s">
        <v>292</v>
      </c>
    </row>
    <row r="265" spans="1:11" x14ac:dyDescent="0.25">
      <c r="A265">
        <v>264</v>
      </c>
      <c r="B265" t="s">
        <v>316</v>
      </c>
      <c r="C265" t="s">
        <v>37</v>
      </c>
      <c r="D265">
        <v>31</v>
      </c>
      <c r="E265" t="e">
        <f t="shared" si="13"/>
        <v>#NAME?</v>
      </c>
      <c r="F265" t="e">
        <f t="shared" si="13"/>
        <v>#NAME?</v>
      </c>
      <c r="G265">
        <v>0.75</v>
      </c>
      <c r="H265">
        <v>2086</v>
      </c>
      <c r="I265">
        <v>0</v>
      </c>
      <c r="J265">
        <v>0</v>
      </c>
      <c r="K265" t="s">
        <v>292</v>
      </c>
    </row>
    <row r="266" spans="1:11" x14ac:dyDescent="0.25">
      <c r="A266">
        <v>265</v>
      </c>
      <c r="B266" t="s">
        <v>317</v>
      </c>
      <c r="C266" t="s">
        <v>43</v>
      </c>
      <c r="D266">
        <v>29</v>
      </c>
      <c r="E266" t="e">
        <f t="shared" si="13"/>
        <v>#NAME?</v>
      </c>
      <c r="F266" t="e">
        <f t="shared" si="13"/>
        <v>#NAME?</v>
      </c>
      <c r="G266">
        <v>0.75</v>
      </c>
      <c r="H266">
        <v>2086</v>
      </c>
      <c r="I266">
        <v>0</v>
      </c>
      <c r="J266">
        <v>0</v>
      </c>
      <c r="K266" t="s">
        <v>292</v>
      </c>
    </row>
    <row r="267" spans="1:11" x14ac:dyDescent="0.25">
      <c r="A267">
        <v>266</v>
      </c>
      <c r="B267" t="s">
        <v>318</v>
      </c>
      <c r="C267" t="s">
        <v>55</v>
      </c>
      <c r="D267">
        <v>26</v>
      </c>
      <c r="E267" t="e">
        <f t="shared" si="13"/>
        <v>#NAME?</v>
      </c>
      <c r="F267" t="e">
        <f t="shared" si="13"/>
        <v>#NAME?</v>
      </c>
      <c r="G267">
        <v>0.76</v>
      </c>
      <c r="H267">
        <v>2085</v>
      </c>
      <c r="I267">
        <v>0</v>
      </c>
      <c r="J267">
        <v>0</v>
      </c>
      <c r="K267" t="s">
        <v>292</v>
      </c>
    </row>
    <row r="268" spans="1:11" x14ac:dyDescent="0.25">
      <c r="A268">
        <v>267</v>
      </c>
      <c r="B268" t="s">
        <v>319</v>
      </c>
      <c r="C268" t="s">
        <v>75</v>
      </c>
      <c r="D268">
        <v>21</v>
      </c>
      <c r="E268" t="e">
        <f t="shared" si="13"/>
        <v>#NAME?</v>
      </c>
      <c r="F268" t="e">
        <f t="shared" si="13"/>
        <v>#NAME?</v>
      </c>
      <c r="G268">
        <v>0.75</v>
      </c>
      <c r="H268">
        <v>2085</v>
      </c>
      <c r="I268">
        <v>0</v>
      </c>
      <c r="J268">
        <v>0</v>
      </c>
      <c r="K268" t="s">
        <v>292</v>
      </c>
    </row>
    <row r="269" spans="1:11" x14ac:dyDescent="0.25">
      <c r="A269">
        <v>268</v>
      </c>
      <c r="B269" t="s">
        <v>320</v>
      </c>
      <c r="C269" t="s">
        <v>75</v>
      </c>
      <c r="D269">
        <v>27</v>
      </c>
      <c r="E269" t="e">
        <f t="shared" si="13"/>
        <v>#NAME?</v>
      </c>
      <c r="F269" t="e">
        <f t="shared" si="13"/>
        <v>#NAME?</v>
      </c>
      <c r="G269">
        <v>0.82</v>
      </c>
      <c r="H269">
        <v>2085</v>
      </c>
      <c r="I269">
        <v>0</v>
      </c>
      <c r="J269">
        <v>0</v>
      </c>
      <c r="K269" t="s">
        <v>292</v>
      </c>
    </row>
    <row r="270" spans="1:11" x14ac:dyDescent="0.25">
      <c r="A270">
        <v>269</v>
      </c>
      <c r="B270" t="s">
        <v>321</v>
      </c>
      <c r="C270" t="s">
        <v>41</v>
      </c>
      <c r="D270">
        <v>27</v>
      </c>
      <c r="E270" t="e">
        <f t="shared" si="13"/>
        <v>#NAME?</v>
      </c>
      <c r="F270" t="e">
        <f t="shared" si="13"/>
        <v>#NAME?</v>
      </c>
      <c r="G270">
        <v>0.75</v>
      </c>
      <c r="H270">
        <v>2085</v>
      </c>
      <c r="I270">
        <v>0</v>
      </c>
      <c r="J270">
        <v>0</v>
      </c>
      <c r="K270" t="s">
        <v>292</v>
      </c>
    </row>
    <row r="271" spans="1:11" x14ac:dyDescent="0.25">
      <c r="A271">
        <v>270</v>
      </c>
      <c r="B271" t="s">
        <v>322</v>
      </c>
      <c r="C271" t="s">
        <v>37</v>
      </c>
      <c r="D271">
        <v>28</v>
      </c>
      <c r="E271" t="e">
        <f t="shared" si="13"/>
        <v>#NAME?</v>
      </c>
      <c r="F271" t="e">
        <f t="shared" si="13"/>
        <v>#NAME?</v>
      </c>
      <c r="G271">
        <v>0.75</v>
      </c>
      <c r="H271">
        <v>2085</v>
      </c>
      <c r="I271">
        <v>0</v>
      </c>
      <c r="J271">
        <v>0</v>
      </c>
      <c r="K271" t="s">
        <v>292</v>
      </c>
    </row>
    <row r="272" spans="1:11" x14ac:dyDescent="0.25">
      <c r="A272">
        <v>271</v>
      </c>
      <c r="B272" t="s">
        <v>323</v>
      </c>
      <c r="C272" t="s">
        <v>75</v>
      </c>
      <c r="D272">
        <v>28</v>
      </c>
      <c r="E272" t="e">
        <f t="shared" si="13"/>
        <v>#NAME?</v>
      </c>
      <c r="F272" t="e">
        <f t="shared" si="13"/>
        <v>#NAME?</v>
      </c>
      <c r="G272">
        <v>0.75</v>
      </c>
      <c r="H272">
        <v>2085</v>
      </c>
      <c r="I272">
        <v>0</v>
      </c>
      <c r="J272">
        <v>0</v>
      </c>
      <c r="K272" t="s">
        <v>292</v>
      </c>
    </row>
    <row r="273" spans="1:11" x14ac:dyDescent="0.25">
      <c r="A273">
        <v>272</v>
      </c>
      <c r="B273" t="s">
        <v>324</v>
      </c>
      <c r="C273" t="s">
        <v>55</v>
      </c>
      <c r="D273">
        <v>28</v>
      </c>
      <c r="E273" t="e">
        <f t="shared" si="13"/>
        <v>#NAME?</v>
      </c>
      <c r="F273" t="e">
        <f t="shared" si="13"/>
        <v>#NAME?</v>
      </c>
      <c r="G273">
        <v>0.75</v>
      </c>
      <c r="H273">
        <v>2086</v>
      </c>
      <c r="I273">
        <v>0</v>
      </c>
      <c r="J273">
        <v>0</v>
      </c>
      <c r="K273" t="s">
        <v>292</v>
      </c>
    </row>
    <row r="274" spans="1:11" x14ac:dyDescent="0.25">
      <c r="A274">
        <v>273</v>
      </c>
      <c r="B274" t="s">
        <v>325</v>
      </c>
      <c r="C274" t="s">
        <v>41</v>
      </c>
      <c r="D274">
        <v>24</v>
      </c>
      <c r="E274" t="e">
        <f t="shared" si="13"/>
        <v>#NAME?</v>
      </c>
      <c r="F274" t="e">
        <f t="shared" si="13"/>
        <v>#NAME?</v>
      </c>
      <c r="G274">
        <v>0.75</v>
      </c>
      <c r="H274">
        <v>2085</v>
      </c>
      <c r="I274">
        <v>0</v>
      </c>
      <c r="J274">
        <v>0</v>
      </c>
      <c r="K274" t="s">
        <v>292</v>
      </c>
    </row>
    <row r="275" spans="1:11" x14ac:dyDescent="0.25">
      <c r="A275">
        <v>274</v>
      </c>
      <c r="B275" t="s">
        <v>326</v>
      </c>
      <c r="C275" t="s">
        <v>60</v>
      </c>
      <c r="D275">
        <v>26</v>
      </c>
      <c r="E275" t="e">
        <f t="shared" si="13"/>
        <v>#NAME?</v>
      </c>
      <c r="F275" t="e">
        <f t="shared" si="13"/>
        <v>#NAME?</v>
      </c>
      <c r="G275">
        <v>0.75</v>
      </c>
      <c r="H275">
        <v>2086</v>
      </c>
      <c r="I275">
        <v>0</v>
      </c>
      <c r="J275">
        <v>0</v>
      </c>
      <c r="K275" t="s">
        <v>292</v>
      </c>
    </row>
    <row r="276" spans="1:11" x14ac:dyDescent="0.25">
      <c r="A276">
        <v>275</v>
      </c>
      <c r="B276" t="s">
        <v>327</v>
      </c>
      <c r="C276" t="s">
        <v>55</v>
      </c>
      <c r="D276">
        <v>24</v>
      </c>
      <c r="E276" t="e">
        <f t="shared" si="13"/>
        <v>#NAME?</v>
      </c>
      <c r="F276" t="e">
        <f t="shared" si="13"/>
        <v>#NAME?</v>
      </c>
      <c r="G276">
        <v>0.75</v>
      </c>
      <c r="H276">
        <v>2085</v>
      </c>
      <c r="I276">
        <v>0</v>
      </c>
      <c r="J276">
        <v>0</v>
      </c>
      <c r="K276" t="s">
        <v>292</v>
      </c>
    </row>
    <row r="277" spans="1:11" x14ac:dyDescent="0.25">
      <c r="A277">
        <v>276</v>
      </c>
      <c r="B277" t="s">
        <v>328</v>
      </c>
      <c r="C277" t="s">
        <v>41</v>
      </c>
      <c r="D277">
        <v>21</v>
      </c>
      <c r="E277" t="e">
        <f t="shared" si="13"/>
        <v>#NAME?</v>
      </c>
      <c r="F277" t="e">
        <f t="shared" si="13"/>
        <v>#NAME?</v>
      </c>
      <c r="G277">
        <v>0.75</v>
      </c>
      <c r="H277">
        <v>2085</v>
      </c>
      <c r="I277">
        <v>0</v>
      </c>
      <c r="J277">
        <v>0</v>
      </c>
      <c r="K277" t="s">
        <v>292</v>
      </c>
    </row>
    <row r="278" spans="1:11" x14ac:dyDescent="0.25">
      <c r="A278">
        <v>277</v>
      </c>
      <c r="B278" t="s">
        <v>329</v>
      </c>
      <c r="C278" t="s">
        <v>53</v>
      </c>
      <c r="D278">
        <v>33</v>
      </c>
      <c r="E278" t="e">
        <f t="shared" si="13"/>
        <v>#NAME?</v>
      </c>
      <c r="F278" t="e">
        <f t="shared" si="13"/>
        <v>#NAME?</v>
      </c>
      <c r="G278">
        <v>0.75</v>
      </c>
      <c r="H278">
        <v>2085</v>
      </c>
      <c r="I278">
        <v>0</v>
      </c>
      <c r="J278">
        <v>0</v>
      </c>
      <c r="K278" t="s">
        <v>292</v>
      </c>
    </row>
    <row r="279" spans="1:11" x14ac:dyDescent="0.25">
      <c r="A279">
        <v>278</v>
      </c>
      <c r="B279" t="s">
        <v>330</v>
      </c>
      <c r="C279" t="s">
        <v>75</v>
      </c>
      <c r="D279">
        <v>32</v>
      </c>
      <c r="E279" t="e">
        <f t="shared" si="13"/>
        <v>#NAME?</v>
      </c>
      <c r="F279" t="e">
        <f t="shared" si="13"/>
        <v>#NAME?</v>
      </c>
      <c r="G279">
        <v>0.75</v>
      </c>
      <c r="H279">
        <v>2086</v>
      </c>
      <c r="I279">
        <v>0</v>
      </c>
      <c r="J279">
        <v>0</v>
      </c>
      <c r="K279" t="s">
        <v>292</v>
      </c>
    </row>
    <row r="280" spans="1:11" x14ac:dyDescent="0.25">
      <c r="A280">
        <v>279</v>
      </c>
      <c r="B280" t="s">
        <v>331</v>
      </c>
      <c r="C280" t="s">
        <v>46</v>
      </c>
      <c r="D280">
        <v>32</v>
      </c>
      <c r="E280" t="e">
        <f t="shared" si="13"/>
        <v>#NAME?</v>
      </c>
      <c r="F280" t="e">
        <f t="shared" si="13"/>
        <v>#NAME?</v>
      </c>
      <c r="G280">
        <v>0.75</v>
      </c>
      <c r="H280">
        <v>2086</v>
      </c>
      <c r="I280">
        <v>0</v>
      </c>
      <c r="J280">
        <v>0</v>
      </c>
      <c r="K280" t="s">
        <v>292</v>
      </c>
    </row>
    <row r="281" spans="1:11" x14ac:dyDescent="0.25">
      <c r="A281">
        <v>280</v>
      </c>
      <c r="B281" t="s">
        <v>332</v>
      </c>
      <c r="C281" t="s">
        <v>41</v>
      </c>
      <c r="D281">
        <v>30</v>
      </c>
      <c r="E281" t="e">
        <f t="shared" si="13"/>
        <v>#NAME?</v>
      </c>
      <c r="F281" t="e">
        <f t="shared" si="13"/>
        <v>#NAME?</v>
      </c>
      <c r="G281">
        <v>0.75</v>
      </c>
      <c r="H281">
        <v>2085</v>
      </c>
      <c r="I281">
        <v>0</v>
      </c>
      <c r="J281">
        <v>0</v>
      </c>
      <c r="K281" t="s">
        <v>292</v>
      </c>
    </row>
    <row r="282" spans="1:11" x14ac:dyDescent="0.25">
      <c r="A282">
        <v>281</v>
      </c>
      <c r="B282" t="s">
        <v>333</v>
      </c>
      <c r="C282" t="s">
        <v>55</v>
      </c>
      <c r="D282">
        <v>26</v>
      </c>
      <c r="E282" t="e">
        <f t="shared" ref="E282:F301" si="14">-Infinity</f>
        <v>#NAME?</v>
      </c>
      <c r="F282" t="e">
        <f t="shared" si="14"/>
        <v>#NAME?</v>
      </c>
      <c r="G282">
        <v>0.78</v>
      </c>
      <c r="H282">
        <v>2085</v>
      </c>
      <c r="I282">
        <v>0</v>
      </c>
      <c r="J282">
        <v>0</v>
      </c>
      <c r="K282" t="s">
        <v>292</v>
      </c>
    </row>
    <row r="283" spans="1:11" x14ac:dyDescent="0.25">
      <c r="A283">
        <v>282</v>
      </c>
      <c r="B283" t="s">
        <v>334</v>
      </c>
      <c r="C283" t="s">
        <v>43</v>
      </c>
      <c r="D283">
        <v>39</v>
      </c>
      <c r="E283" t="e">
        <f t="shared" si="14"/>
        <v>#NAME?</v>
      </c>
      <c r="F283" t="e">
        <f t="shared" si="14"/>
        <v>#NAME?</v>
      </c>
      <c r="G283">
        <v>0.75</v>
      </c>
      <c r="H283">
        <v>2085</v>
      </c>
      <c r="I283">
        <v>0</v>
      </c>
      <c r="J283">
        <v>0</v>
      </c>
      <c r="K283" t="s">
        <v>292</v>
      </c>
    </row>
    <row r="284" spans="1:11" x14ac:dyDescent="0.25">
      <c r="A284">
        <v>283</v>
      </c>
      <c r="B284" t="s">
        <v>335</v>
      </c>
      <c r="C284" t="s">
        <v>46</v>
      </c>
      <c r="D284">
        <v>32</v>
      </c>
      <c r="E284" t="e">
        <f t="shared" si="14"/>
        <v>#NAME?</v>
      </c>
      <c r="F284" t="e">
        <f t="shared" si="14"/>
        <v>#NAME?</v>
      </c>
      <c r="G284">
        <v>0.75</v>
      </c>
      <c r="H284">
        <v>2086</v>
      </c>
      <c r="I284">
        <v>0</v>
      </c>
      <c r="J284">
        <v>0</v>
      </c>
      <c r="K284" t="s">
        <v>292</v>
      </c>
    </row>
    <row r="285" spans="1:11" x14ac:dyDescent="0.25">
      <c r="A285">
        <v>284</v>
      </c>
      <c r="B285" t="s">
        <v>336</v>
      </c>
      <c r="C285" t="s">
        <v>53</v>
      </c>
      <c r="D285">
        <v>32</v>
      </c>
      <c r="E285" t="e">
        <f t="shared" si="14"/>
        <v>#NAME?</v>
      </c>
      <c r="F285" t="e">
        <f t="shared" si="14"/>
        <v>#NAME?</v>
      </c>
      <c r="G285">
        <v>0.75</v>
      </c>
      <c r="H285">
        <v>2085</v>
      </c>
      <c r="I285">
        <v>0</v>
      </c>
      <c r="J285">
        <v>0</v>
      </c>
      <c r="K285" t="s">
        <v>292</v>
      </c>
    </row>
    <row r="286" spans="1:11" x14ac:dyDescent="0.25">
      <c r="A286">
        <v>285</v>
      </c>
      <c r="B286" t="s">
        <v>337</v>
      </c>
      <c r="C286" t="s">
        <v>55</v>
      </c>
      <c r="D286">
        <v>32</v>
      </c>
      <c r="E286" t="e">
        <f t="shared" si="14"/>
        <v>#NAME?</v>
      </c>
      <c r="F286" t="e">
        <f t="shared" si="14"/>
        <v>#NAME?</v>
      </c>
      <c r="G286">
        <v>0.75</v>
      </c>
      <c r="H286">
        <v>2085</v>
      </c>
      <c r="I286">
        <v>0</v>
      </c>
      <c r="J286">
        <v>0</v>
      </c>
      <c r="K286" t="s">
        <v>292</v>
      </c>
    </row>
    <row r="287" spans="1:11" x14ac:dyDescent="0.25">
      <c r="A287">
        <v>286</v>
      </c>
      <c r="B287" t="s">
        <v>338</v>
      </c>
      <c r="C287" t="s">
        <v>75</v>
      </c>
      <c r="D287">
        <v>26</v>
      </c>
      <c r="E287" t="e">
        <f t="shared" si="14"/>
        <v>#NAME?</v>
      </c>
      <c r="F287" t="e">
        <f t="shared" si="14"/>
        <v>#NAME?</v>
      </c>
      <c r="G287">
        <v>0.75</v>
      </c>
      <c r="H287">
        <v>2085</v>
      </c>
      <c r="I287">
        <v>0</v>
      </c>
      <c r="J287">
        <v>0</v>
      </c>
      <c r="K287" t="s">
        <v>292</v>
      </c>
    </row>
    <row r="288" spans="1:11" x14ac:dyDescent="0.25">
      <c r="A288">
        <v>287</v>
      </c>
      <c r="B288" t="s">
        <v>339</v>
      </c>
      <c r="C288" t="s">
        <v>53</v>
      </c>
      <c r="D288">
        <v>29</v>
      </c>
      <c r="E288" t="e">
        <f t="shared" si="14"/>
        <v>#NAME?</v>
      </c>
      <c r="F288" t="e">
        <f t="shared" si="14"/>
        <v>#NAME?</v>
      </c>
      <c r="G288">
        <v>0.75</v>
      </c>
      <c r="H288">
        <v>2086</v>
      </c>
      <c r="I288">
        <v>0</v>
      </c>
      <c r="J288">
        <v>0</v>
      </c>
      <c r="K288" t="s">
        <v>292</v>
      </c>
    </row>
    <row r="289" spans="1:11" x14ac:dyDescent="0.25">
      <c r="A289">
        <v>288</v>
      </c>
      <c r="B289" t="s">
        <v>340</v>
      </c>
      <c r="C289" t="s">
        <v>41</v>
      </c>
      <c r="D289">
        <v>22</v>
      </c>
      <c r="E289" t="e">
        <f t="shared" si="14"/>
        <v>#NAME?</v>
      </c>
      <c r="F289" t="e">
        <f t="shared" si="14"/>
        <v>#NAME?</v>
      </c>
      <c r="G289">
        <v>0.75</v>
      </c>
      <c r="H289">
        <v>2085</v>
      </c>
      <c r="I289">
        <v>0</v>
      </c>
      <c r="J289">
        <v>0</v>
      </c>
      <c r="K289" t="s">
        <v>292</v>
      </c>
    </row>
    <row r="290" spans="1:11" x14ac:dyDescent="0.25">
      <c r="A290">
        <v>289</v>
      </c>
      <c r="B290" t="s">
        <v>341</v>
      </c>
      <c r="C290" t="s">
        <v>75</v>
      </c>
      <c r="D290">
        <v>35</v>
      </c>
      <c r="E290" t="e">
        <f t="shared" si="14"/>
        <v>#NAME?</v>
      </c>
      <c r="F290" t="e">
        <f t="shared" si="14"/>
        <v>#NAME?</v>
      </c>
      <c r="G290">
        <v>0.75</v>
      </c>
      <c r="H290">
        <v>2085</v>
      </c>
      <c r="I290">
        <v>0</v>
      </c>
      <c r="J290">
        <v>0</v>
      </c>
      <c r="K290" t="s">
        <v>292</v>
      </c>
    </row>
    <row r="291" spans="1:11" x14ac:dyDescent="0.25">
      <c r="A291">
        <v>290</v>
      </c>
      <c r="B291" t="s">
        <v>342</v>
      </c>
      <c r="C291" t="s">
        <v>75</v>
      </c>
      <c r="D291">
        <v>34</v>
      </c>
      <c r="E291" t="e">
        <f t="shared" si="14"/>
        <v>#NAME?</v>
      </c>
      <c r="F291" t="e">
        <f t="shared" si="14"/>
        <v>#NAME?</v>
      </c>
      <c r="G291">
        <v>0.75</v>
      </c>
      <c r="H291">
        <v>2085</v>
      </c>
      <c r="I291">
        <v>0</v>
      </c>
      <c r="J291">
        <v>0</v>
      </c>
      <c r="K291" t="s">
        <v>292</v>
      </c>
    </row>
    <row r="292" spans="1:11" x14ac:dyDescent="0.25">
      <c r="A292">
        <v>291</v>
      </c>
      <c r="B292" t="s">
        <v>343</v>
      </c>
      <c r="C292" t="s">
        <v>35</v>
      </c>
      <c r="D292">
        <v>34</v>
      </c>
      <c r="E292" t="e">
        <f t="shared" si="14"/>
        <v>#NAME?</v>
      </c>
      <c r="F292" t="e">
        <f t="shared" si="14"/>
        <v>#NAME?</v>
      </c>
      <c r="G292">
        <v>0.75</v>
      </c>
      <c r="H292">
        <v>2085</v>
      </c>
      <c r="I292">
        <v>0</v>
      </c>
      <c r="J292">
        <v>0</v>
      </c>
      <c r="K292" t="s">
        <v>292</v>
      </c>
    </row>
    <row r="293" spans="1:11" x14ac:dyDescent="0.25">
      <c r="A293">
        <v>292</v>
      </c>
      <c r="B293" t="s">
        <v>344</v>
      </c>
      <c r="C293" t="s">
        <v>55</v>
      </c>
      <c r="D293">
        <v>20</v>
      </c>
      <c r="E293" t="e">
        <f t="shared" si="14"/>
        <v>#NAME?</v>
      </c>
      <c r="F293" t="e">
        <f t="shared" si="14"/>
        <v>#NAME?</v>
      </c>
      <c r="G293">
        <v>0.75</v>
      </c>
      <c r="H293">
        <v>2085</v>
      </c>
      <c r="I293">
        <v>0</v>
      </c>
      <c r="J293">
        <v>0</v>
      </c>
      <c r="K293" t="s">
        <v>292</v>
      </c>
    </row>
    <row r="294" spans="1:11" x14ac:dyDescent="0.25">
      <c r="A294">
        <v>293</v>
      </c>
      <c r="B294" t="s">
        <v>345</v>
      </c>
      <c r="C294" t="s">
        <v>53</v>
      </c>
      <c r="D294">
        <v>30</v>
      </c>
      <c r="E294" t="e">
        <f t="shared" si="14"/>
        <v>#NAME?</v>
      </c>
      <c r="F294" t="e">
        <f t="shared" si="14"/>
        <v>#NAME?</v>
      </c>
      <c r="G294">
        <v>0.75</v>
      </c>
      <c r="H294">
        <v>2086</v>
      </c>
      <c r="I294">
        <v>0</v>
      </c>
      <c r="J294">
        <v>0</v>
      </c>
      <c r="K294" t="s">
        <v>292</v>
      </c>
    </row>
    <row r="295" spans="1:11" x14ac:dyDescent="0.25">
      <c r="A295">
        <v>294</v>
      </c>
      <c r="B295" t="s">
        <v>346</v>
      </c>
      <c r="C295" t="s">
        <v>75</v>
      </c>
      <c r="D295">
        <v>30</v>
      </c>
      <c r="E295" t="e">
        <f t="shared" si="14"/>
        <v>#NAME?</v>
      </c>
      <c r="F295" t="e">
        <f t="shared" si="14"/>
        <v>#NAME?</v>
      </c>
      <c r="G295">
        <v>0.75</v>
      </c>
      <c r="H295">
        <v>2085</v>
      </c>
      <c r="I295">
        <v>0</v>
      </c>
      <c r="J295">
        <v>0</v>
      </c>
      <c r="K295" t="s">
        <v>292</v>
      </c>
    </row>
    <row r="296" spans="1:11" x14ac:dyDescent="0.25">
      <c r="A296">
        <v>295</v>
      </c>
      <c r="B296" t="s">
        <v>347</v>
      </c>
      <c r="C296" t="s">
        <v>46</v>
      </c>
      <c r="D296">
        <v>25</v>
      </c>
      <c r="E296" t="e">
        <f t="shared" si="14"/>
        <v>#NAME?</v>
      </c>
      <c r="F296" t="e">
        <f t="shared" si="14"/>
        <v>#NAME?</v>
      </c>
      <c r="G296">
        <v>0.75</v>
      </c>
      <c r="H296">
        <v>2085</v>
      </c>
      <c r="I296">
        <v>0</v>
      </c>
      <c r="J296">
        <v>0</v>
      </c>
      <c r="K296" t="s">
        <v>292</v>
      </c>
    </row>
    <row r="297" spans="1:11" x14ac:dyDescent="0.25">
      <c r="A297">
        <v>296</v>
      </c>
      <c r="B297" t="s">
        <v>348</v>
      </c>
      <c r="C297" t="s">
        <v>75</v>
      </c>
      <c r="D297">
        <v>24</v>
      </c>
      <c r="E297" t="e">
        <f t="shared" si="14"/>
        <v>#NAME?</v>
      </c>
      <c r="F297" t="e">
        <f t="shared" si="14"/>
        <v>#NAME?</v>
      </c>
      <c r="G297">
        <v>0.75</v>
      </c>
      <c r="H297">
        <v>2085</v>
      </c>
      <c r="I297">
        <v>0</v>
      </c>
      <c r="J297">
        <v>0</v>
      </c>
      <c r="K297" t="s">
        <v>292</v>
      </c>
    </row>
    <row r="298" spans="1:11" x14ac:dyDescent="0.25">
      <c r="A298">
        <v>297</v>
      </c>
      <c r="B298" t="s">
        <v>349</v>
      </c>
      <c r="C298" t="s">
        <v>43</v>
      </c>
      <c r="D298">
        <v>28</v>
      </c>
      <c r="E298" t="e">
        <f t="shared" si="14"/>
        <v>#NAME?</v>
      </c>
      <c r="F298" t="e">
        <f t="shared" si="14"/>
        <v>#NAME?</v>
      </c>
      <c r="G298">
        <v>0.75</v>
      </c>
      <c r="H298">
        <v>2086</v>
      </c>
      <c r="I298">
        <v>0</v>
      </c>
      <c r="J298">
        <v>0</v>
      </c>
      <c r="K298" t="s">
        <v>292</v>
      </c>
    </row>
    <row r="299" spans="1:11" x14ac:dyDescent="0.25">
      <c r="A299">
        <v>298</v>
      </c>
      <c r="B299" t="s">
        <v>350</v>
      </c>
      <c r="C299" t="s">
        <v>41</v>
      </c>
      <c r="D299">
        <v>28</v>
      </c>
      <c r="E299" t="e">
        <f t="shared" si="14"/>
        <v>#NAME?</v>
      </c>
      <c r="F299" t="e">
        <f t="shared" si="14"/>
        <v>#NAME?</v>
      </c>
      <c r="G299">
        <v>0.75</v>
      </c>
      <c r="H299">
        <v>2085</v>
      </c>
      <c r="I299">
        <v>0</v>
      </c>
      <c r="J299">
        <v>0</v>
      </c>
      <c r="K299" t="s">
        <v>292</v>
      </c>
    </row>
    <row r="300" spans="1:11" x14ac:dyDescent="0.25">
      <c r="A300">
        <v>299</v>
      </c>
      <c r="B300" t="s">
        <v>351</v>
      </c>
      <c r="C300" t="s">
        <v>53</v>
      </c>
      <c r="D300">
        <v>28</v>
      </c>
      <c r="E300" t="e">
        <f t="shared" si="14"/>
        <v>#NAME?</v>
      </c>
      <c r="F300" t="e">
        <f t="shared" si="14"/>
        <v>#NAME?</v>
      </c>
      <c r="G300">
        <v>0.75</v>
      </c>
      <c r="H300">
        <v>2086</v>
      </c>
      <c r="I300">
        <v>0</v>
      </c>
      <c r="J300">
        <v>0</v>
      </c>
      <c r="K300" t="s">
        <v>292</v>
      </c>
    </row>
    <row r="301" spans="1:11" x14ac:dyDescent="0.25">
      <c r="A301">
        <v>300</v>
      </c>
      <c r="B301" t="s">
        <v>352</v>
      </c>
      <c r="C301" t="s">
        <v>55</v>
      </c>
      <c r="D301">
        <v>29</v>
      </c>
      <c r="E301" t="e">
        <f t="shared" si="14"/>
        <v>#NAME?</v>
      </c>
      <c r="F301" t="e">
        <f t="shared" si="14"/>
        <v>#NAME?</v>
      </c>
      <c r="G301">
        <v>0.81</v>
      </c>
      <c r="H301">
        <v>2085</v>
      </c>
      <c r="I301">
        <v>0</v>
      </c>
      <c r="J301">
        <v>0</v>
      </c>
      <c r="K301" t="s">
        <v>292</v>
      </c>
    </row>
    <row r="302" spans="1:11" x14ac:dyDescent="0.25">
      <c r="A302">
        <v>301</v>
      </c>
      <c r="B302" t="s">
        <v>353</v>
      </c>
      <c r="C302" t="s">
        <v>75</v>
      </c>
      <c r="D302">
        <v>29</v>
      </c>
      <c r="E302" t="e">
        <f t="shared" ref="E302:F321" si="15">-Infinity</f>
        <v>#NAME?</v>
      </c>
      <c r="F302" t="e">
        <f t="shared" si="15"/>
        <v>#NAME?</v>
      </c>
      <c r="G302">
        <v>0.75</v>
      </c>
      <c r="H302">
        <v>2086</v>
      </c>
      <c r="I302">
        <v>0</v>
      </c>
      <c r="J302">
        <v>0</v>
      </c>
      <c r="K302" t="s">
        <v>292</v>
      </c>
    </row>
    <row r="303" spans="1:11" x14ac:dyDescent="0.25">
      <c r="A303">
        <v>302</v>
      </c>
      <c r="B303" t="s">
        <v>354</v>
      </c>
      <c r="C303" t="s">
        <v>75</v>
      </c>
      <c r="D303">
        <v>22</v>
      </c>
      <c r="E303" t="e">
        <f t="shared" si="15"/>
        <v>#NAME?</v>
      </c>
      <c r="F303" t="e">
        <f t="shared" si="15"/>
        <v>#NAME?</v>
      </c>
      <c r="G303">
        <v>0.81</v>
      </c>
      <c r="H303">
        <v>2085</v>
      </c>
      <c r="I303">
        <v>0</v>
      </c>
      <c r="J303">
        <v>0</v>
      </c>
      <c r="K303" t="s">
        <v>292</v>
      </c>
    </row>
    <row r="304" spans="1:11" x14ac:dyDescent="0.25">
      <c r="A304">
        <v>303</v>
      </c>
      <c r="B304" t="s">
        <v>355</v>
      </c>
      <c r="C304" t="s">
        <v>53</v>
      </c>
      <c r="D304">
        <v>22</v>
      </c>
      <c r="E304" t="e">
        <f t="shared" si="15"/>
        <v>#NAME?</v>
      </c>
      <c r="F304" t="e">
        <f t="shared" si="15"/>
        <v>#NAME?</v>
      </c>
      <c r="G304">
        <v>0.75</v>
      </c>
      <c r="H304">
        <v>2085</v>
      </c>
      <c r="I304">
        <v>0</v>
      </c>
      <c r="J304">
        <v>0</v>
      </c>
      <c r="K304" t="s">
        <v>292</v>
      </c>
    </row>
    <row r="305" spans="1:11" x14ac:dyDescent="0.25">
      <c r="A305">
        <v>304</v>
      </c>
      <c r="B305" t="s">
        <v>356</v>
      </c>
      <c r="C305" t="s">
        <v>37</v>
      </c>
      <c r="D305">
        <v>30</v>
      </c>
      <c r="E305" t="e">
        <f t="shared" si="15"/>
        <v>#NAME?</v>
      </c>
      <c r="F305" t="e">
        <f t="shared" si="15"/>
        <v>#NAME?</v>
      </c>
      <c r="G305">
        <v>0.75</v>
      </c>
      <c r="H305">
        <v>2086</v>
      </c>
      <c r="I305">
        <v>0</v>
      </c>
      <c r="J305">
        <v>0</v>
      </c>
      <c r="K305" t="s">
        <v>292</v>
      </c>
    </row>
    <row r="306" spans="1:11" x14ac:dyDescent="0.25">
      <c r="A306">
        <v>305</v>
      </c>
      <c r="B306" t="s">
        <v>357</v>
      </c>
      <c r="C306" t="s">
        <v>55</v>
      </c>
      <c r="D306">
        <v>30</v>
      </c>
      <c r="E306" t="e">
        <f t="shared" si="15"/>
        <v>#NAME?</v>
      </c>
      <c r="F306" t="e">
        <f t="shared" si="15"/>
        <v>#NAME?</v>
      </c>
      <c r="G306">
        <v>0.8</v>
      </c>
      <c r="H306">
        <v>2086</v>
      </c>
      <c r="I306">
        <v>0</v>
      </c>
      <c r="J306">
        <v>0</v>
      </c>
      <c r="K306" t="s">
        <v>292</v>
      </c>
    </row>
    <row r="307" spans="1:11" x14ac:dyDescent="0.25">
      <c r="A307">
        <v>306</v>
      </c>
      <c r="B307" t="s">
        <v>358</v>
      </c>
      <c r="C307" t="s">
        <v>53</v>
      </c>
      <c r="D307">
        <v>28</v>
      </c>
      <c r="E307" t="e">
        <f t="shared" si="15"/>
        <v>#NAME?</v>
      </c>
      <c r="F307" t="e">
        <f t="shared" si="15"/>
        <v>#NAME?</v>
      </c>
      <c r="G307">
        <v>0.75</v>
      </c>
      <c r="H307">
        <v>2086</v>
      </c>
      <c r="I307">
        <v>0</v>
      </c>
      <c r="J307">
        <v>0</v>
      </c>
      <c r="K307" t="s">
        <v>292</v>
      </c>
    </row>
    <row r="308" spans="1:11" x14ac:dyDescent="0.25">
      <c r="A308">
        <v>307</v>
      </c>
      <c r="B308" t="s">
        <v>359</v>
      </c>
      <c r="C308" t="s">
        <v>60</v>
      </c>
      <c r="D308">
        <v>33</v>
      </c>
      <c r="E308" t="e">
        <f t="shared" si="15"/>
        <v>#NAME?</v>
      </c>
      <c r="F308" t="e">
        <f t="shared" si="15"/>
        <v>#NAME?</v>
      </c>
      <c r="G308">
        <v>0.76</v>
      </c>
      <c r="H308">
        <v>2085</v>
      </c>
      <c r="I308">
        <v>0</v>
      </c>
      <c r="J308">
        <v>0</v>
      </c>
      <c r="K308" t="s">
        <v>292</v>
      </c>
    </row>
    <row r="309" spans="1:11" x14ac:dyDescent="0.25">
      <c r="A309">
        <v>308</v>
      </c>
      <c r="B309" t="s">
        <v>360</v>
      </c>
      <c r="C309" t="s">
        <v>41</v>
      </c>
      <c r="D309">
        <v>32</v>
      </c>
      <c r="E309" t="e">
        <f t="shared" si="15"/>
        <v>#NAME?</v>
      </c>
      <c r="F309" t="e">
        <f t="shared" si="15"/>
        <v>#NAME?</v>
      </c>
      <c r="G309">
        <v>0.75</v>
      </c>
      <c r="H309">
        <v>2085</v>
      </c>
      <c r="I309">
        <v>0</v>
      </c>
      <c r="J309">
        <v>0</v>
      </c>
      <c r="K309" t="s">
        <v>292</v>
      </c>
    </row>
    <row r="310" spans="1:11" x14ac:dyDescent="0.25">
      <c r="A310">
        <v>309</v>
      </c>
      <c r="B310" t="s">
        <v>361</v>
      </c>
      <c r="C310" t="s">
        <v>53</v>
      </c>
      <c r="D310">
        <v>24</v>
      </c>
      <c r="E310" t="e">
        <f t="shared" si="15"/>
        <v>#NAME?</v>
      </c>
      <c r="F310" t="e">
        <f t="shared" si="15"/>
        <v>#NAME?</v>
      </c>
      <c r="G310">
        <v>0.75</v>
      </c>
      <c r="H310">
        <v>2085</v>
      </c>
      <c r="I310">
        <v>0</v>
      </c>
      <c r="J310">
        <v>0</v>
      </c>
      <c r="K310" t="s">
        <v>292</v>
      </c>
    </row>
    <row r="311" spans="1:11" x14ac:dyDescent="0.25">
      <c r="A311">
        <v>310</v>
      </c>
      <c r="B311" t="s">
        <v>362</v>
      </c>
      <c r="C311" t="s">
        <v>53</v>
      </c>
      <c r="D311">
        <v>29</v>
      </c>
      <c r="E311" t="e">
        <f t="shared" si="15"/>
        <v>#NAME?</v>
      </c>
      <c r="F311" t="e">
        <f t="shared" si="15"/>
        <v>#NAME?</v>
      </c>
      <c r="G311">
        <v>0.76</v>
      </c>
      <c r="H311">
        <v>2085</v>
      </c>
      <c r="I311">
        <v>0</v>
      </c>
      <c r="J311">
        <v>0</v>
      </c>
      <c r="K311" t="s">
        <v>292</v>
      </c>
    </row>
    <row r="312" spans="1:11" x14ac:dyDescent="0.25">
      <c r="A312">
        <v>311</v>
      </c>
      <c r="B312" t="s">
        <v>363</v>
      </c>
      <c r="C312" t="s">
        <v>41</v>
      </c>
      <c r="D312">
        <v>34</v>
      </c>
      <c r="E312" t="e">
        <f t="shared" si="15"/>
        <v>#NAME?</v>
      </c>
      <c r="F312" t="e">
        <f t="shared" si="15"/>
        <v>#NAME?</v>
      </c>
      <c r="G312">
        <v>0.75</v>
      </c>
      <c r="H312">
        <v>2085</v>
      </c>
      <c r="I312">
        <v>0</v>
      </c>
      <c r="J312">
        <v>0</v>
      </c>
      <c r="K312" t="s">
        <v>292</v>
      </c>
    </row>
    <row r="313" spans="1:11" x14ac:dyDescent="0.25">
      <c r="A313">
        <v>312</v>
      </c>
      <c r="B313" t="s">
        <v>364</v>
      </c>
      <c r="C313" t="s">
        <v>46</v>
      </c>
      <c r="D313">
        <v>23</v>
      </c>
      <c r="E313" t="e">
        <f t="shared" si="15"/>
        <v>#NAME?</v>
      </c>
      <c r="F313" t="e">
        <f t="shared" si="15"/>
        <v>#NAME?</v>
      </c>
      <c r="G313">
        <v>0.75</v>
      </c>
      <c r="H313">
        <v>2085</v>
      </c>
      <c r="I313">
        <v>0</v>
      </c>
      <c r="J313">
        <v>0</v>
      </c>
      <c r="K313" t="s">
        <v>292</v>
      </c>
    </row>
    <row r="314" spans="1:11" x14ac:dyDescent="0.25">
      <c r="A314">
        <v>313</v>
      </c>
      <c r="B314" t="s">
        <v>365</v>
      </c>
      <c r="C314" t="s">
        <v>60</v>
      </c>
      <c r="D314">
        <v>30</v>
      </c>
      <c r="E314" t="e">
        <f t="shared" si="15"/>
        <v>#NAME?</v>
      </c>
      <c r="F314" t="e">
        <f t="shared" si="15"/>
        <v>#NAME?</v>
      </c>
      <c r="G314">
        <v>0.75</v>
      </c>
      <c r="H314">
        <v>2085</v>
      </c>
      <c r="I314">
        <v>0</v>
      </c>
      <c r="J314">
        <v>0</v>
      </c>
      <c r="K314" t="s">
        <v>292</v>
      </c>
    </row>
    <row r="315" spans="1:11" x14ac:dyDescent="0.25">
      <c r="A315">
        <v>314</v>
      </c>
      <c r="B315" t="s">
        <v>366</v>
      </c>
      <c r="C315" t="s">
        <v>46</v>
      </c>
      <c r="D315">
        <v>25</v>
      </c>
      <c r="E315" t="e">
        <f t="shared" si="15"/>
        <v>#NAME?</v>
      </c>
      <c r="F315" t="e">
        <f t="shared" si="15"/>
        <v>#NAME?</v>
      </c>
      <c r="G315">
        <v>0.75</v>
      </c>
      <c r="H315">
        <v>2085</v>
      </c>
      <c r="I315">
        <v>0</v>
      </c>
      <c r="J315">
        <v>0</v>
      </c>
      <c r="K315" t="s">
        <v>292</v>
      </c>
    </row>
    <row r="316" spans="1:11" x14ac:dyDescent="0.25">
      <c r="A316">
        <v>315</v>
      </c>
      <c r="B316" t="s">
        <v>367</v>
      </c>
      <c r="C316" t="s">
        <v>35</v>
      </c>
      <c r="D316">
        <v>33</v>
      </c>
      <c r="E316" t="e">
        <f t="shared" si="15"/>
        <v>#NAME?</v>
      </c>
      <c r="F316" t="e">
        <f t="shared" si="15"/>
        <v>#NAME?</v>
      </c>
      <c r="G316">
        <v>0.75</v>
      </c>
      <c r="H316">
        <v>2085</v>
      </c>
      <c r="I316">
        <v>0</v>
      </c>
      <c r="J316">
        <v>0</v>
      </c>
      <c r="K316" t="s">
        <v>292</v>
      </c>
    </row>
    <row r="317" spans="1:11" x14ac:dyDescent="0.25">
      <c r="A317">
        <v>316</v>
      </c>
      <c r="B317" t="s">
        <v>368</v>
      </c>
      <c r="C317" t="s">
        <v>53</v>
      </c>
      <c r="D317">
        <v>33</v>
      </c>
      <c r="E317" t="e">
        <f t="shared" si="15"/>
        <v>#NAME?</v>
      </c>
      <c r="F317" t="e">
        <f t="shared" si="15"/>
        <v>#NAME?</v>
      </c>
      <c r="G317">
        <v>0.75</v>
      </c>
      <c r="H317">
        <v>2085</v>
      </c>
      <c r="I317">
        <v>0</v>
      </c>
      <c r="J317">
        <v>0</v>
      </c>
      <c r="K317" t="s">
        <v>292</v>
      </c>
    </row>
    <row r="318" spans="1:11" x14ac:dyDescent="0.25">
      <c r="A318">
        <v>317</v>
      </c>
      <c r="B318" t="s">
        <v>369</v>
      </c>
      <c r="C318" t="s">
        <v>35</v>
      </c>
      <c r="D318">
        <v>32</v>
      </c>
      <c r="E318" t="e">
        <f t="shared" si="15"/>
        <v>#NAME?</v>
      </c>
      <c r="F318" t="e">
        <f t="shared" si="15"/>
        <v>#NAME?</v>
      </c>
      <c r="G318">
        <v>0.75</v>
      </c>
      <c r="H318">
        <v>2085</v>
      </c>
      <c r="I318">
        <v>0</v>
      </c>
      <c r="J318">
        <v>0</v>
      </c>
      <c r="K318" t="s">
        <v>292</v>
      </c>
    </row>
    <row r="319" spans="1:11" x14ac:dyDescent="0.25">
      <c r="A319">
        <v>318</v>
      </c>
      <c r="B319" t="s">
        <v>370</v>
      </c>
      <c r="C319" t="s">
        <v>55</v>
      </c>
      <c r="D319">
        <v>29</v>
      </c>
      <c r="E319" t="e">
        <f t="shared" si="15"/>
        <v>#NAME?</v>
      </c>
      <c r="F319" t="e">
        <f t="shared" si="15"/>
        <v>#NAME?</v>
      </c>
      <c r="G319">
        <v>0.75</v>
      </c>
      <c r="H319">
        <v>2085</v>
      </c>
      <c r="I319">
        <v>0</v>
      </c>
      <c r="J319">
        <v>0</v>
      </c>
      <c r="K319" t="s">
        <v>292</v>
      </c>
    </row>
    <row r="320" spans="1:11" x14ac:dyDescent="0.25">
      <c r="A320">
        <v>319</v>
      </c>
      <c r="B320" t="s">
        <v>371</v>
      </c>
      <c r="C320" t="s">
        <v>46</v>
      </c>
      <c r="D320">
        <v>29</v>
      </c>
      <c r="E320" t="e">
        <f t="shared" si="15"/>
        <v>#NAME?</v>
      </c>
      <c r="F320" t="e">
        <f t="shared" si="15"/>
        <v>#NAME?</v>
      </c>
      <c r="G320">
        <v>0.75</v>
      </c>
      <c r="H320">
        <v>2085</v>
      </c>
      <c r="I320">
        <v>0</v>
      </c>
      <c r="J320">
        <v>0</v>
      </c>
      <c r="K320" t="s">
        <v>292</v>
      </c>
    </row>
    <row r="321" spans="1:11" x14ac:dyDescent="0.25">
      <c r="A321">
        <v>320</v>
      </c>
      <c r="B321" t="s">
        <v>372</v>
      </c>
      <c r="C321" t="s">
        <v>37</v>
      </c>
      <c r="D321">
        <v>25</v>
      </c>
      <c r="E321" t="e">
        <f t="shared" si="15"/>
        <v>#NAME?</v>
      </c>
      <c r="F321" t="e">
        <f t="shared" si="15"/>
        <v>#NAME?</v>
      </c>
      <c r="G321">
        <v>0.82</v>
      </c>
      <c r="H321">
        <v>2085</v>
      </c>
      <c r="I321">
        <v>0</v>
      </c>
      <c r="J321">
        <v>0</v>
      </c>
      <c r="K321" t="s">
        <v>292</v>
      </c>
    </row>
    <row r="322" spans="1:11" x14ac:dyDescent="0.25">
      <c r="A322">
        <v>321</v>
      </c>
      <c r="B322" t="s">
        <v>373</v>
      </c>
      <c r="C322" t="s">
        <v>75</v>
      </c>
      <c r="D322">
        <v>25</v>
      </c>
      <c r="E322" t="e">
        <f t="shared" ref="E322:F332" si="16">-Infinity</f>
        <v>#NAME?</v>
      </c>
      <c r="F322" t="e">
        <f t="shared" si="16"/>
        <v>#NAME?</v>
      </c>
      <c r="G322">
        <v>0.82</v>
      </c>
      <c r="H322">
        <v>2085</v>
      </c>
      <c r="I322">
        <v>0</v>
      </c>
      <c r="J322">
        <v>0</v>
      </c>
      <c r="K322" t="s">
        <v>292</v>
      </c>
    </row>
    <row r="323" spans="1:11" x14ac:dyDescent="0.25">
      <c r="A323">
        <v>322</v>
      </c>
      <c r="B323" t="s">
        <v>374</v>
      </c>
      <c r="C323" t="s">
        <v>43</v>
      </c>
      <c r="D323">
        <v>23</v>
      </c>
      <c r="E323" t="e">
        <f t="shared" si="16"/>
        <v>#NAME?</v>
      </c>
      <c r="F323" t="e">
        <f t="shared" si="16"/>
        <v>#NAME?</v>
      </c>
      <c r="G323">
        <v>0.75</v>
      </c>
      <c r="H323">
        <v>2085</v>
      </c>
      <c r="I323">
        <v>0</v>
      </c>
      <c r="J323">
        <v>0</v>
      </c>
      <c r="K323" t="s">
        <v>292</v>
      </c>
    </row>
    <row r="324" spans="1:11" x14ac:dyDescent="0.25">
      <c r="A324">
        <v>323</v>
      </c>
      <c r="B324" t="s">
        <v>375</v>
      </c>
      <c r="C324" t="s">
        <v>41</v>
      </c>
      <c r="D324">
        <v>38</v>
      </c>
      <c r="E324" t="e">
        <f t="shared" si="16"/>
        <v>#NAME?</v>
      </c>
      <c r="F324" t="e">
        <f t="shared" si="16"/>
        <v>#NAME?</v>
      </c>
      <c r="G324">
        <v>0.75</v>
      </c>
      <c r="H324">
        <v>2085</v>
      </c>
      <c r="I324">
        <v>0</v>
      </c>
      <c r="J324">
        <v>0</v>
      </c>
      <c r="K324" t="s">
        <v>292</v>
      </c>
    </row>
    <row r="325" spans="1:11" x14ac:dyDescent="0.25">
      <c r="A325">
        <v>324</v>
      </c>
      <c r="B325" t="s">
        <v>376</v>
      </c>
      <c r="C325" t="s">
        <v>41</v>
      </c>
      <c r="D325">
        <v>28</v>
      </c>
      <c r="E325" t="e">
        <f t="shared" si="16"/>
        <v>#NAME?</v>
      </c>
      <c r="F325" t="e">
        <f t="shared" si="16"/>
        <v>#NAME?</v>
      </c>
      <c r="G325">
        <v>0.75</v>
      </c>
      <c r="H325">
        <v>2085</v>
      </c>
      <c r="I325">
        <v>0</v>
      </c>
      <c r="J325">
        <v>0</v>
      </c>
      <c r="K325" t="s">
        <v>292</v>
      </c>
    </row>
    <row r="326" spans="1:11" x14ac:dyDescent="0.25">
      <c r="A326">
        <v>325</v>
      </c>
      <c r="B326" t="s">
        <v>377</v>
      </c>
      <c r="C326" t="s">
        <v>41</v>
      </c>
      <c r="D326">
        <v>27</v>
      </c>
      <c r="E326" t="e">
        <f t="shared" si="16"/>
        <v>#NAME?</v>
      </c>
      <c r="F326" t="e">
        <f t="shared" si="16"/>
        <v>#NAME?</v>
      </c>
      <c r="G326">
        <v>0.8</v>
      </c>
      <c r="H326">
        <v>2085</v>
      </c>
      <c r="I326">
        <v>0</v>
      </c>
      <c r="J326">
        <v>0</v>
      </c>
      <c r="K326" t="s">
        <v>292</v>
      </c>
    </row>
    <row r="327" spans="1:11" x14ac:dyDescent="0.25">
      <c r="A327">
        <v>326</v>
      </c>
      <c r="B327" t="s">
        <v>378</v>
      </c>
      <c r="C327" t="s">
        <v>37</v>
      </c>
      <c r="D327">
        <v>28</v>
      </c>
      <c r="E327" t="e">
        <f t="shared" si="16"/>
        <v>#NAME?</v>
      </c>
      <c r="F327" t="e">
        <f t="shared" si="16"/>
        <v>#NAME?</v>
      </c>
      <c r="G327">
        <v>0.75</v>
      </c>
      <c r="H327">
        <v>2085</v>
      </c>
      <c r="I327">
        <v>0</v>
      </c>
      <c r="J327">
        <v>0</v>
      </c>
      <c r="K327" t="s">
        <v>292</v>
      </c>
    </row>
    <row r="328" spans="1:11" x14ac:dyDescent="0.25">
      <c r="A328">
        <v>327</v>
      </c>
      <c r="B328" t="s">
        <v>379</v>
      </c>
      <c r="C328" t="s">
        <v>60</v>
      </c>
      <c r="D328">
        <v>27</v>
      </c>
      <c r="E328" t="e">
        <f t="shared" si="16"/>
        <v>#NAME?</v>
      </c>
      <c r="F328" t="e">
        <f t="shared" si="16"/>
        <v>#NAME?</v>
      </c>
      <c r="G328">
        <v>0.75</v>
      </c>
      <c r="H328">
        <v>2085</v>
      </c>
      <c r="I328">
        <v>0</v>
      </c>
      <c r="J328">
        <v>0</v>
      </c>
      <c r="K328" t="s">
        <v>292</v>
      </c>
    </row>
    <row r="329" spans="1:11" x14ac:dyDescent="0.25">
      <c r="A329">
        <v>328</v>
      </c>
      <c r="B329" t="s">
        <v>380</v>
      </c>
      <c r="C329" t="s">
        <v>75</v>
      </c>
      <c r="D329">
        <v>27</v>
      </c>
      <c r="E329" t="e">
        <f t="shared" si="16"/>
        <v>#NAME?</v>
      </c>
      <c r="F329" t="e">
        <f t="shared" si="16"/>
        <v>#NAME?</v>
      </c>
      <c r="G329">
        <v>0.75</v>
      </c>
      <c r="H329">
        <v>2085</v>
      </c>
      <c r="I329">
        <v>0</v>
      </c>
      <c r="J329">
        <v>0</v>
      </c>
      <c r="K329" t="s">
        <v>292</v>
      </c>
    </row>
    <row r="330" spans="1:11" x14ac:dyDescent="0.25">
      <c r="A330">
        <v>329</v>
      </c>
      <c r="B330" t="s">
        <v>381</v>
      </c>
      <c r="C330" t="s">
        <v>37</v>
      </c>
      <c r="D330">
        <v>23</v>
      </c>
      <c r="E330" t="e">
        <f t="shared" si="16"/>
        <v>#NAME?</v>
      </c>
      <c r="F330" t="e">
        <f t="shared" si="16"/>
        <v>#NAME?</v>
      </c>
      <c r="G330">
        <v>0.75</v>
      </c>
      <c r="H330">
        <v>2085</v>
      </c>
      <c r="I330">
        <v>0</v>
      </c>
      <c r="J330">
        <v>0</v>
      </c>
      <c r="K330" t="s">
        <v>292</v>
      </c>
    </row>
    <row r="331" spans="1:11" x14ac:dyDescent="0.25">
      <c r="A331">
        <v>330</v>
      </c>
      <c r="B331" t="s">
        <v>382</v>
      </c>
      <c r="C331" t="s">
        <v>41</v>
      </c>
      <c r="D331">
        <v>24</v>
      </c>
      <c r="E331" t="e">
        <f t="shared" si="16"/>
        <v>#NAME?</v>
      </c>
      <c r="F331" t="e">
        <f t="shared" si="16"/>
        <v>#NAME?</v>
      </c>
      <c r="G331">
        <v>0.75</v>
      </c>
      <c r="H331">
        <v>2085</v>
      </c>
      <c r="I331">
        <v>0</v>
      </c>
      <c r="J331">
        <v>0</v>
      </c>
      <c r="K331" t="s">
        <v>292</v>
      </c>
    </row>
    <row r="332" spans="1:11" x14ac:dyDescent="0.25">
      <c r="A332">
        <v>331</v>
      </c>
      <c r="B332" t="s">
        <v>383</v>
      </c>
      <c r="C332" t="s">
        <v>37</v>
      </c>
      <c r="D332">
        <v>25</v>
      </c>
      <c r="E332" t="e">
        <f t="shared" si="16"/>
        <v>#NAME?</v>
      </c>
      <c r="F332" t="e">
        <f t="shared" si="16"/>
        <v>#NAME?</v>
      </c>
      <c r="G332">
        <v>0.75</v>
      </c>
      <c r="H332">
        <v>2085</v>
      </c>
      <c r="I332">
        <v>0</v>
      </c>
      <c r="J332">
        <v>0</v>
      </c>
      <c r="K332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B23D-914B-4A17-BE73-BBA757EE8764}">
  <dimension ref="D4:V17"/>
  <sheetViews>
    <sheetView workbookViewId="0">
      <selection activeCell="H10" sqref="H10"/>
    </sheetView>
  </sheetViews>
  <sheetFormatPr defaultRowHeight="15" x14ac:dyDescent="0.25"/>
  <cols>
    <col min="22" max="22" width="12" bestFit="1" customWidth="1"/>
  </cols>
  <sheetData>
    <row r="4" spans="4:22" x14ac:dyDescent="0.25">
      <c r="J4" t="s">
        <v>7</v>
      </c>
      <c r="K4">
        <f>PRODUCT(I:I)</f>
        <v>1.5936825052201131E-2</v>
      </c>
      <c r="M4" t="s">
        <v>1</v>
      </c>
      <c r="N4">
        <v>0.2</v>
      </c>
      <c r="U4" t="s">
        <v>8</v>
      </c>
      <c r="V4" t="s">
        <v>9</v>
      </c>
    </row>
    <row r="5" spans="4:22" x14ac:dyDescent="0.25">
      <c r="U5">
        <v>-6</v>
      </c>
      <c r="V5">
        <f>TANH(U5/4)/2+0.5</f>
        <v>4.7425873177566802E-2</v>
      </c>
    </row>
    <row r="6" spans="4:22" x14ac:dyDescent="0.25">
      <c r="D6" t="s">
        <v>2</v>
      </c>
      <c r="E6" t="s">
        <v>3</v>
      </c>
      <c r="F6" t="s">
        <v>4</v>
      </c>
      <c r="G6" t="s">
        <v>10</v>
      </c>
      <c r="H6" t="s">
        <v>0</v>
      </c>
      <c r="I6" t="s">
        <v>5</v>
      </c>
      <c r="K6" t="s">
        <v>6</v>
      </c>
      <c r="M6">
        <v>1</v>
      </c>
      <c r="N6">
        <v>60</v>
      </c>
      <c r="O6">
        <f>SUM(N$6:N6)</f>
        <v>60</v>
      </c>
      <c r="U6">
        <v>-5</v>
      </c>
      <c r="V6">
        <f t="shared" ref="V6:V17" si="0">TANH(U6/4)/2+0.5</f>
        <v>7.585818002124356E-2</v>
      </c>
    </row>
    <row r="7" spans="4:22" x14ac:dyDescent="0.25">
      <c r="D7">
        <v>30</v>
      </c>
      <c r="E7">
        <v>5</v>
      </c>
      <c r="F7">
        <f>D7*E7</f>
        <v>150</v>
      </c>
      <c r="G7">
        <f>_xlfn.XLOOKUP(E7,M:M,O:O,0,0)</f>
        <v>201.69600000000003</v>
      </c>
      <c r="H7">
        <f>IFERROR(TANH(F7/G7),0)</f>
        <v>0.63137149078988919</v>
      </c>
      <c r="I7">
        <f>1-H7</f>
        <v>0.36862850921011081</v>
      </c>
      <c r="J7">
        <f>IFERROR(PRODUCT(I:I)*H7/I7,1)</f>
        <v>2.7295927309655563E-2</v>
      </c>
      <c r="K7">
        <f>(1-$K$4)*J7/SUM(J:J)</f>
        <v>0.23017947318262227</v>
      </c>
      <c r="M7">
        <v>2</v>
      </c>
      <c r="N7">
        <f>N6*(1-N$4)</f>
        <v>48</v>
      </c>
      <c r="O7">
        <f>SUM(N$6:N7)</f>
        <v>108</v>
      </c>
      <c r="U7">
        <v>-4</v>
      </c>
      <c r="V7">
        <f t="shared" si="0"/>
        <v>0.11920292202211757</v>
      </c>
    </row>
    <row r="8" spans="4:22" x14ac:dyDescent="0.25">
      <c r="D8">
        <v>35</v>
      </c>
      <c r="E8">
        <v>4</v>
      </c>
      <c r="F8">
        <f t="shared" ref="F8:F11" si="1">D8*E8</f>
        <v>140</v>
      </c>
      <c r="G8">
        <f t="shared" ref="G8:G11" si="2">_xlfn.XLOOKUP(E8,M:M,O:O,0,0)</f>
        <v>177.12</v>
      </c>
      <c r="H8">
        <f t="shared" ref="H8:H11" si="3">IFERROR(TANH(F8/G8),0)</f>
        <v>0.65864948710276983</v>
      </c>
      <c r="I8">
        <f t="shared" ref="I8:I11" si="4">1-H8</f>
        <v>0.34135051289723017</v>
      </c>
      <c r="J8">
        <f t="shared" ref="J8:J11" si="5">IFERROR(PRODUCT(I:I)*H8/I8,1)</f>
        <v>3.075074227247198E-2</v>
      </c>
      <c r="K8">
        <f>(1-$K$4)*J8/SUM(J:J)</f>
        <v>0.2593130314260611</v>
      </c>
      <c r="M8">
        <v>3</v>
      </c>
      <c r="N8">
        <f t="shared" ref="N8:N10" si="6">N7*(1-N$4)</f>
        <v>38.400000000000006</v>
      </c>
      <c r="O8">
        <f>SUM(N$6:N8)</f>
        <v>146.4</v>
      </c>
      <c r="U8">
        <v>-3</v>
      </c>
      <c r="V8">
        <f t="shared" si="0"/>
        <v>0.18242552380635635</v>
      </c>
    </row>
    <row r="9" spans="4:22" x14ac:dyDescent="0.25">
      <c r="D9">
        <v>35</v>
      </c>
      <c r="E9">
        <v>2</v>
      </c>
      <c r="F9">
        <f t="shared" si="1"/>
        <v>70</v>
      </c>
      <c r="G9">
        <f t="shared" si="2"/>
        <v>108</v>
      </c>
      <c r="H9">
        <f t="shared" si="3"/>
        <v>0.57042199180931386</v>
      </c>
      <c r="I9">
        <f t="shared" si="4"/>
        <v>0.42957800819068614</v>
      </c>
      <c r="J9">
        <f t="shared" si="5"/>
        <v>2.116196666510416E-2</v>
      </c>
      <c r="K9">
        <f t="shared" ref="K9:K11" si="7">(1-$K$4)*J9/SUM(J:J)</f>
        <v>0.17845337449879645</v>
      </c>
      <c r="M9">
        <v>4</v>
      </c>
      <c r="N9">
        <f t="shared" si="6"/>
        <v>30.720000000000006</v>
      </c>
      <c r="O9">
        <f>SUM(N$6:N9)</f>
        <v>177.12</v>
      </c>
      <c r="U9">
        <v>-2</v>
      </c>
      <c r="V9">
        <f t="shared" si="0"/>
        <v>0.2689414213699951</v>
      </c>
    </row>
    <row r="10" spans="4:22" x14ac:dyDescent="0.25">
      <c r="D10">
        <v>35</v>
      </c>
      <c r="E10">
        <v>5</v>
      </c>
      <c r="F10">
        <f t="shared" si="1"/>
        <v>175</v>
      </c>
      <c r="G10">
        <f t="shared" si="2"/>
        <v>201.69600000000003</v>
      </c>
      <c r="H10">
        <f t="shared" si="3"/>
        <v>0.7001743093369478</v>
      </c>
      <c r="I10">
        <f t="shared" si="4"/>
        <v>0.2998256906630522</v>
      </c>
      <c r="J10">
        <f t="shared" si="5"/>
        <v>3.7216809037517784E-2</v>
      </c>
      <c r="K10">
        <f t="shared" si="7"/>
        <v>0.31383969486040508</v>
      </c>
      <c r="M10">
        <v>5</v>
      </c>
      <c r="N10">
        <f t="shared" si="6"/>
        <v>24.576000000000008</v>
      </c>
      <c r="O10">
        <f>SUM(N$6:N10)</f>
        <v>201.69600000000003</v>
      </c>
      <c r="U10">
        <v>-1</v>
      </c>
      <c r="V10">
        <f t="shared" si="0"/>
        <v>0.37754066879814541</v>
      </c>
    </row>
    <row r="11" spans="4:22" x14ac:dyDescent="0.25">
      <c r="D11">
        <v>1</v>
      </c>
      <c r="E11">
        <v>1</v>
      </c>
      <c r="F11">
        <f t="shared" si="1"/>
        <v>1</v>
      </c>
      <c r="G11">
        <f t="shared" si="2"/>
        <v>60</v>
      </c>
      <c r="H11">
        <f t="shared" si="3"/>
        <v>1.6665123628238614E-2</v>
      </c>
      <c r="I11">
        <f t="shared" si="4"/>
        <v>0.98333487637176142</v>
      </c>
      <c r="J11">
        <f t="shared" si="5"/>
        <v>2.7009024709516454E-4</v>
      </c>
      <c r="K11">
        <f t="shared" si="7"/>
        <v>2.2776009799138691E-3</v>
      </c>
      <c r="U11">
        <v>0</v>
      </c>
      <c r="V11">
        <f t="shared" si="0"/>
        <v>0.5</v>
      </c>
    </row>
    <row r="12" spans="4:22" x14ac:dyDescent="0.25">
      <c r="U12">
        <v>1</v>
      </c>
      <c r="V12">
        <f t="shared" si="0"/>
        <v>0.62245933120185459</v>
      </c>
    </row>
    <row r="13" spans="4:22" x14ac:dyDescent="0.25">
      <c r="U13">
        <v>2</v>
      </c>
      <c r="V13">
        <f t="shared" si="0"/>
        <v>0.7310585786300049</v>
      </c>
    </row>
    <row r="14" spans="4:22" x14ac:dyDescent="0.25">
      <c r="U14">
        <v>3</v>
      </c>
      <c r="V14">
        <f t="shared" si="0"/>
        <v>0.81757447619364365</v>
      </c>
    </row>
    <row r="15" spans="4:22" x14ac:dyDescent="0.25">
      <c r="U15">
        <v>4</v>
      </c>
      <c r="V15">
        <f t="shared" si="0"/>
        <v>0.88079707797788243</v>
      </c>
    </row>
    <row r="16" spans="4:22" x14ac:dyDescent="0.25">
      <c r="U16">
        <v>5</v>
      </c>
      <c r="V16">
        <f t="shared" si="0"/>
        <v>0.92414181997875644</v>
      </c>
    </row>
    <row r="17" spans="21:22" x14ac:dyDescent="0.25">
      <c r="U17">
        <v>6</v>
      </c>
      <c r="V17">
        <f t="shared" si="0"/>
        <v>0.95257412682243325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predictions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Ganti, Subramanya SBOBNG-FO/AMQ</dc:creator>
  <cp:lastModifiedBy>Ganti, Subramanya SBOBNG-FO/AMQ</cp:lastModifiedBy>
  <dcterms:created xsi:type="dcterms:W3CDTF">2026-02-10T10:05:44Z</dcterms:created>
  <dcterms:modified xsi:type="dcterms:W3CDTF">2026-02-26T10:42:19Z</dcterms:modified>
</cp:coreProperties>
</file>